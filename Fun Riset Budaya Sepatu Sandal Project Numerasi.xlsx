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EDUGRAFIS INTERAKTIF\KONTEN E.I\Fun Riset\"/>
    </mc:Choice>
  </mc:AlternateContent>
  <xr:revisionPtr revIDLastSave="0" documentId="13_ncr:1_{80900E06-C2D1-4112-8EB2-9299EE78FB23}" xr6:coauthVersionLast="47" xr6:coauthVersionMax="47" xr10:uidLastSave="{00000000-0000-0000-0000-000000000000}"/>
  <bookViews>
    <workbookView xWindow="-110" yWindow="-110" windowWidth="19420" windowHeight="10300" activeTab="4" xr2:uid="{F0030BBD-A7D8-4DF8-9D56-54516B73818A}"/>
  </bookViews>
  <sheets>
    <sheet name="COVER" sheetId="1" r:id="rId1"/>
    <sheet name="IDENTITAS" sheetId="3" r:id="rId2"/>
    <sheet name="KETENTUAN" sheetId="12" r:id="rId3"/>
    <sheet name="INPUT" sheetId="5" r:id="rId4"/>
    <sheet name="DASHBOARD" sheetId="7" r:id="rId5"/>
    <sheet name="FORMULA" sheetId="10" state="hidden" r:id="rId6"/>
    <sheet name="SEPATU" sheetId="13" r:id="rId7"/>
    <sheet name="SANDAL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0" l="1"/>
  <c r="L5" i="10"/>
  <c r="H18" i="10"/>
  <c r="H17" i="10"/>
  <c r="H16" i="10"/>
  <c r="H15" i="10"/>
  <c r="H14" i="10"/>
  <c r="N8" i="7"/>
  <c r="G10" i="10"/>
  <c r="G18" i="10" s="1"/>
  <c r="G9" i="10"/>
  <c r="G17" i="10" s="1"/>
  <c r="G8" i="10"/>
  <c r="G16" i="10" s="1"/>
  <c r="G7" i="10"/>
  <c r="G15" i="10" s="1"/>
  <c r="G6" i="10"/>
  <c r="G14" i="10" s="1"/>
  <c r="H10" i="10"/>
  <c r="H9" i="10"/>
  <c r="H8" i="10"/>
  <c r="H7" i="10"/>
  <c r="H6" i="10"/>
  <c r="D10" i="10"/>
  <c r="C10" i="10"/>
  <c r="D9" i="10"/>
  <c r="C9" i="10"/>
  <c r="D8" i="10"/>
  <c r="D7" i="10"/>
  <c r="D6" i="10"/>
  <c r="B10" i="10"/>
  <c r="B9" i="10"/>
  <c r="C8" i="10"/>
  <c r="B8" i="10"/>
  <c r="C7" i="10"/>
  <c r="B7" i="10"/>
  <c r="C6" i="10"/>
  <c r="B6" i="10"/>
  <c r="L17" i="10" l="1"/>
  <c r="L9" i="10"/>
  <c r="L16" i="10"/>
  <c r="L18" i="10" s="1"/>
  <c r="L8" i="10"/>
  <c r="L15" i="10"/>
  <c r="L14" i="10"/>
  <c r="L7" i="10"/>
  <c r="L6" i="10"/>
  <c r="I14" i="10"/>
  <c r="G8" i="5" s="1"/>
  <c r="I6" i="10"/>
  <c r="E8" i="5" s="1"/>
  <c r="I17" i="10"/>
  <c r="G14" i="5" s="1"/>
  <c r="I18" i="10"/>
  <c r="G16" i="5" s="1"/>
  <c r="I15" i="10"/>
  <c r="G10" i="5" s="1"/>
  <c r="I16" i="10"/>
  <c r="G12" i="5" s="1"/>
  <c r="D12" i="10"/>
  <c r="I10" i="10"/>
  <c r="E16" i="5" s="1"/>
  <c r="I9" i="10"/>
  <c r="E14" i="5" s="1"/>
  <c r="I8" i="10"/>
  <c r="E12" i="5" s="1"/>
  <c r="I7" i="10"/>
  <c r="E10" i="5" s="1"/>
  <c r="N11" i="5"/>
  <c r="N9" i="5"/>
  <c r="B27" i="7"/>
  <c r="O23" i="7"/>
  <c r="N17" i="7"/>
  <c r="N17" i="5"/>
  <c r="N15" i="5"/>
  <c r="N13" i="5"/>
  <c r="F24" i="3"/>
  <c r="F22" i="3"/>
  <c r="F20" i="3"/>
  <c r="F18" i="3"/>
  <c r="F16" i="3"/>
  <c r="F14" i="3"/>
  <c r="O23" i="3"/>
  <c r="O21" i="3"/>
  <c r="O19" i="3"/>
  <c r="O17" i="3"/>
  <c r="O15" i="3"/>
  <c r="O13" i="3"/>
  <c r="F23" i="3"/>
  <c r="F21" i="3"/>
  <c r="F19" i="3"/>
  <c r="F17" i="3"/>
  <c r="F15" i="3"/>
  <c r="F13" i="3"/>
  <c r="O11" i="3"/>
  <c r="F11" i="3"/>
  <c r="F12" i="3"/>
  <c r="O9" i="3"/>
  <c r="F10" i="3"/>
  <c r="F9" i="3"/>
  <c r="B27" i="3"/>
  <c r="M9" i="10" l="1"/>
  <c r="M10" i="10" s="1"/>
  <c r="L10" i="10"/>
</calcChain>
</file>

<file path=xl/sharedStrings.xml><?xml version="1.0" encoding="utf-8"?>
<sst xmlns="http://schemas.openxmlformats.org/spreadsheetml/2006/main" count="47" uniqueCount="29">
  <si>
    <t>NO</t>
  </si>
  <si>
    <t>SEPATU</t>
  </si>
  <si>
    <t>TANGGAL RISET</t>
  </si>
  <si>
    <t>LOKASI</t>
  </si>
  <si>
    <t>RAPI</t>
  </si>
  <si>
    <t>TIDAK RAPI</t>
  </si>
  <si>
    <t>KURANG RAPI</t>
  </si>
  <si>
    <t>SANDAL</t>
  </si>
  <si>
    <t>STATUS</t>
  </si>
  <si>
    <t>KRITERIA</t>
  </si>
  <si>
    <t>Nilai</t>
  </si>
  <si>
    <t>Keterangan</t>
  </si>
  <si>
    <t>Lokasi</t>
  </si>
  <si>
    <t>Status</t>
  </si>
  <si>
    <t>lokasi</t>
  </si>
  <si>
    <t>POIN</t>
  </si>
  <si>
    <t>KETERANGAN</t>
  </si>
  <si>
    <t>LOKASI OBSERVASI</t>
  </si>
  <si>
    <t>Sandal</t>
  </si>
  <si>
    <t>Sepatu</t>
  </si>
  <si>
    <t>Max</t>
  </si>
  <si>
    <t>Min</t>
  </si>
  <si>
    <t>Rata</t>
  </si>
  <si>
    <t>Total Lokasi</t>
  </si>
  <si>
    <t>`</t>
  </si>
  <si>
    <t>Target</t>
  </si>
  <si>
    <t xml:space="preserve"> </t>
  </si>
  <si>
    <t>HOMEBASE</t>
  </si>
  <si>
    <t>BUDAYA RAPI SEPATU SANDAL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</si>
</sst>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8"/>
      <color theme="6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4"/>
      <color theme="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theme="1" tint="0.34998626667073579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6" tint="0.79998168889431442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1" tint="0.499984740745262"/>
      <name val="Calibri"/>
      <family val="2"/>
      <scheme val="minor"/>
    </font>
    <font>
      <sz val="16"/>
      <color theme="1" tint="0.499984740745262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b/>
      <sz val="14"/>
      <color theme="1" tint="0.34998626667073579"/>
      <name val="Abadi Extra Light"/>
      <family val="2"/>
    </font>
    <font>
      <sz val="14"/>
      <color theme="8" tint="-0.249977111117893"/>
      <name val="Calibri"/>
      <family val="2"/>
      <scheme val="minor"/>
    </font>
    <font>
      <sz val="16"/>
      <color theme="5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20"/>
      <color theme="1" tint="0.499984740745262"/>
      <name val="Calibri"/>
      <family val="2"/>
      <scheme val="minor"/>
    </font>
    <font>
      <b/>
      <sz val="36"/>
      <color theme="1" tint="0.49998474074526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2F3FE"/>
        <bgColor indexed="64"/>
      </patternFill>
    </fill>
  </fills>
  <borders count="15">
    <border>
      <left/>
      <right/>
      <top/>
      <bottom/>
      <diagonal/>
    </border>
    <border>
      <left style="thick">
        <color theme="6" tint="-0.249977111117893"/>
      </left>
      <right style="thick">
        <color theme="6" tint="-0.249977111117893"/>
      </right>
      <top style="thick">
        <color theme="6" tint="-0.249977111117893"/>
      </top>
      <bottom style="thick">
        <color theme="6" tint="-0.249977111117893"/>
      </bottom>
      <diagonal/>
    </border>
    <border>
      <left style="thick">
        <color theme="6" tint="-0.249977111117893"/>
      </left>
      <right style="thick">
        <color theme="6" tint="-0.249977111117893"/>
      </right>
      <top style="thick">
        <color theme="6" tint="-0.249977111117893"/>
      </top>
      <bottom/>
      <diagonal/>
    </border>
    <border>
      <left style="thick">
        <color theme="6" tint="-0.249977111117893"/>
      </left>
      <right style="thick">
        <color theme="6" tint="-0.249977111117893"/>
      </right>
      <top/>
      <bottom style="thick">
        <color theme="6" tint="-0.249977111117893"/>
      </bottom>
      <diagonal/>
    </border>
    <border>
      <left style="thick">
        <color theme="6" tint="-0.249977111117893"/>
      </left>
      <right/>
      <top style="thick">
        <color theme="6" tint="-0.249977111117893"/>
      </top>
      <bottom/>
      <diagonal/>
    </border>
    <border>
      <left/>
      <right/>
      <top style="thick">
        <color theme="6" tint="-0.249977111117893"/>
      </top>
      <bottom/>
      <diagonal/>
    </border>
    <border>
      <left/>
      <right style="thick">
        <color theme="6" tint="-0.249977111117893"/>
      </right>
      <top style="thick">
        <color theme="6" tint="-0.249977111117893"/>
      </top>
      <bottom/>
      <diagonal/>
    </border>
    <border>
      <left style="thick">
        <color theme="6" tint="-0.249977111117893"/>
      </left>
      <right/>
      <top/>
      <bottom style="thick">
        <color theme="6" tint="-0.249977111117893"/>
      </bottom>
      <diagonal/>
    </border>
    <border>
      <left/>
      <right/>
      <top/>
      <bottom style="thick">
        <color theme="6" tint="-0.249977111117893"/>
      </bottom>
      <diagonal/>
    </border>
    <border>
      <left/>
      <right style="thick">
        <color theme="6" tint="-0.249977111117893"/>
      </right>
      <top/>
      <bottom style="thick">
        <color theme="6" tint="-0.249977111117893"/>
      </bottom>
      <diagonal/>
    </border>
    <border>
      <left/>
      <right style="thick">
        <color theme="6" tint="-0.249977111117893"/>
      </right>
      <top style="thick">
        <color theme="6" tint="-0.249977111117893"/>
      </top>
      <bottom style="thick">
        <color theme="6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6" tint="-0.249977111117893"/>
      </left>
      <right/>
      <top style="thick">
        <color theme="6" tint="-0.249977111117893"/>
      </top>
      <bottom style="thick">
        <color theme="6" tint="-0.249977111117893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Border="1" applyAlignment="1"/>
    <xf numFmtId="0" fontId="0" fillId="2" borderId="0" xfId="0" applyFill="1" applyBorder="1"/>
    <xf numFmtId="0" fontId="3" fillId="2" borderId="0" xfId="0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 applyAlignment="1"/>
    <xf numFmtId="0" fontId="10" fillId="2" borderId="0" xfId="0" applyFont="1" applyFill="1" applyBorder="1" applyAlignment="1">
      <alignment vertical="center"/>
    </xf>
    <xf numFmtId="0" fontId="9" fillId="2" borderId="0" xfId="0" applyFont="1" applyFill="1" applyBorder="1" applyAlignment="1"/>
    <xf numFmtId="0" fontId="7" fillId="2" borderId="0" xfId="0" applyFont="1" applyFill="1" applyBorder="1" applyAlignment="1">
      <alignment vertical="center"/>
    </xf>
    <xf numFmtId="0" fontId="13" fillId="2" borderId="0" xfId="0" applyFont="1" applyFill="1" applyBorder="1"/>
    <xf numFmtId="0" fontId="15" fillId="2" borderId="1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8" fillId="2" borderId="0" xfId="0" applyFont="1" applyFill="1" applyBorder="1"/>
    <xf numFmtId="0" fontId="18" fillId="2" borderId="0" xfId="0" applyFont="1" applyFill="1" applyBorder="1" applyAlignment="1" applyProtection="1">
      <alignment vertical="center"/>
      <protection locked="0"/>
    </xf>
    <xf numFmtId="0" fontId="19" fillId="2" borderId="0" xfId="0" applyFont="1" applyFill="1" applyBorder="1" applyAlignment="1" applyProtection="1">
      <alignment vertical="center"/>
      <protection locked="0"/>
    </xf>
    <xf numFmtId="0" fontId="20" fillId="2" borderId="0" xfId="0" applyFont="1" applyFill="1" applyBorder="1" applyAlignment="1" applyProtection="1">
      <alignment horizontal="center" vertical="center"/>
      <protection locked="0"/>
    </xf>
    <xf numFmtId="0" fontId="21" fillId="2" borderId="0" xfId="0" applyFont="1" applyFill="1" applyBorder="1"/>
    <xf numFmtId="0" fontId="21" fillId="2" borderId="0" xfId="0" applyFont="1" applyFill="1" applyBorder="1" applyAlignment="1" applyProtection="1">
      <alignment vertical="center"/>
      <protection locked="0"/>
    </xf>
    <xf numFmtId="0" fontId="21" fillId="2" borderId="0" xfId="0" applyFont="1" applyFill="1" applyBorder="1" applyAlignment="1">
      <alignment vertical="center"/>
    </xf>
    <xf numFmtId="0" fontId="22" fillId="2" borderId="0" xfId="0" applyFont="1" applyFill="1" applyBorder="1" applyAlignment="1" applyProtection="1">
      <alignment vertical="center"/>
      <protection locked="0"/>
    </xf>
    <xf numFmtId="0" fontId="21" fillId="11" borderId="11" xfId="0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2" fillId="9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4" fillId="10" borderId="1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0" fillId="9" borderId="12" xfId="0" applyFill="1" applyBorder="1"/>
    <xf numFmtId="0" fontId="0" fillId="9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vertical="center" wrapText="1"/>
    </xf>
    <xf numFmtId="0" fontId="21" fillId="9" borderId="11" xfId="0" applyFon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11" borderId="11" xfId="0" applyNumberFormat="1" applyFill="1" applyBorder="1" applyAlignment="1">
      <alignment horizontal="center"/>
    </xf>
    <xf numFmtId="0" fontId="2" fillId="9" borderId="11" xfId="0" applyFont="1" applyFill="1" applyBorder="1" applyAlignment="1">
      <alignment horizontal="center" vertical="center"/>
    </xf>
    <xf numFmtId="1" fontId="0" fillId="11" borderId="11" xfId="0" applyNumberFormat="1" applyFill="1" applyBorder="1" applyAlignment="1">
      <alignment horizontal="center" vertical="center"/>
    </xf>
    <xf numFmtId="1" fontId="0" fillId="9" borderId="11" xfId="0" applyNumberFormat="1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/>
    <xf numFmtId="0" fontId="0" fillId="13" borderId="0" xfId="0" applyFill="1" applyBorder="1" applyAlignment="1"/>
    <xf numFmtId="0" fontId="2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1" fillId="6" borderId="4" xfId="0" applyFont="1" applyFill="1" applyBorder="1" applyAlignment="1" applyProtection="1">
      <alignment horizontal="center" vertical="center"/>
      <protection locked="0"/>
    </xf>
    <xf numFmtId="0" fontId="11" fillId="6" borderId="5" xfId="0" applyFont="1" applyFill="1" applyBorder="1" applyAlignment="1" applyProtection="1">
      <alignment horizontal="center" vertical="center"/>
      <protection locked="0"/>
    </xf>
    <xf numFmtId="0" fontId="11" fillId="6" borderId="6" xfId="0" applyFont="1" applyFill="1" applyBorder="1" applyAlignment="1" applyProtection="1">
      <alignment horizontal="center" vertical="center"/>
      <protection locked="0"/>
    </xf>
    <xf numFmtId="0" fontId="11" fillId="6" borderId="7" xfId="0" applyFont="1" applyFill="1" applyBorder="1" applyAlignment="1" applyProtection="1">
      <alignment horizontal="center" vertical="center"/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0" fontId="11" fillId="6" borderId="9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>
      <alignment horizontal="center"/>
    </xf>
    <xf numFmtId="0" fontId="25" fillId="12" borderId="12" xfId="0" applyFont="1" applyFill="1" applyBorder="1" applyAlignment="1">
      <alignment horizontal="center" vertical="center"/>
    </xf>
    <xf numFmtId="15" fontId="7" fillId="3" borderId="0" xfId="0" applyNumberFormat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 applyProtection="1">
      <alignment horizontal="center" vertical="center"/>
      <protection locked="0"/>
    </xf>
    <xf numFmtId="0" fontId="29" fillId="2" borderId="1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0" fontId="24" fillId="10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3" fillId="16" borderId="11" xfId="0" applyFont="1" applyFill="1" applyBorder="1" applyAlignment="1" applyProtection="1">
      <alignment horizontal="center" vertical="center"/>
      <protection locked="0"/>
    </xf>
    <xf numFmtId="0" fontId="26" fillId="11" borderId="12" xfId="0" applyFont="1" applyFill="1" applyBorder="1" applyAlignment="1" applyProtection="1">
      <alignment horizontal="center" vertical="center" wrapText="1"/>
      <protection locked="0"/>
    </xf>
    <xf numFmtId="0" fontId="27" fillId="11" borderId="12" xfId="0" applyFont="1" applyFill="1" applyBorder="1" applyAlignment="1" applyProtection="1">
      <alignment horizontal="center" vertical="center" wrapText="1"/>
      <protection locked="0"/>
    </xf>
    <xf numFmtId="0" fontId="31" fillId="11" borderId="12" xfId="0" applyFont="1" applyFill="1" applyBorder="1" applyAlignment="1" applyProtection="1">
      <alignment horizontal="center" vertical="center" wrapText="1"/>
      <protection locked="0"/>
    </xf>
    <xf numFmtId="0" fontId="28" fillId="11" borderId="12" xfId="0" applyFont="1" applyFill="1" applyBorder="1" applyAlignment="1" applyProtection="1">
      <alignment horizontal="center" vertical="center"/>
      <protection locked="0"/>
    </xf>
    <xf numFmtId="0" fontId="34" fillId="2" borderId="0" xfId="0" applyFont="1" applyFill="1" applyAlignment="1">
      <alignment vertical="center" wrapText="1"/>
    </xf>
    <xf numFmtId="0" fontId="34" fillId="2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F3FE"/>
      <color rgb="FFC7FDC8"/>
      <color rgb="FFCFEBFD"/>
      <color rgb="FF9EE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pictureOptions>
            <c:pictureFormat val="stack"/>
          </c:pictureOptions>
          <c:cat>
            <c:numRef>
              <c:f>FORMULA!$G$6:$G$10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FORMULA!$H$6:$H$10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4-470D-91F2-B7100523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613310047"/>
        <c:axId val="613307551"/>
      </c:barChart>
      <c:catAx>
        <c:axId val="61331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07551"/>
        <c:crosses val="autoZero"/>
        <c:auto val="1"/>
        <c:lblAlgn val="ctr"/>
        <c:lblOffset val="100"/>
        <c:noMultiLvlLbl val="0"/>
      </c:catAx>
      <c:valAx>
        <c:axId val="61330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FEBFD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1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rgbClr val="00B0F0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pictureOptions>
            <c:pictureFormat val="stack"/>
          </c:pictureOptions>
          <c:cat>
            <c:numRef>
              <c:f>FORMULA!$G$14:$G$18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FORMULA!$H$14:$H$18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9-4FC8-AB73-128BADCB9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613310047"/>
        <c:axId val="613307551"/>
      </c:barChart>
      <c:catAx>
        <c:axId val="61331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07551"/>
        <c:crosses val="autoZero"/>
        <c:auto val="1"/>
        <c:lblAlgn val="ctr"/>
        <c:lblOffset val="100"/>
        <c:noMultiLvlLbl val="0"/>
      </c:catAx>
      <c:valAx>
        <c:axId val="61330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7FDC8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1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rgbClr val="00B050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BF-4EFD-B164-682E71A474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BF-4EFD-B164-682E71A474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BF-4EFD-B164-682E71A474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BF-4EFD-B164-682E71A474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BF-4EFD-B164-682E71A47474}"/>
              </c:ext>
            </c:extLst>
          </c:dPt>
          <c:dLbls>
            <c:delete val="1"/>
          </c:dLbls>
          <c:cat>
            <c:numRef>
              <c:f>FORMULA!$G$6:$G$10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FORMULA!$H$6:$H$10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BF-4EFD-B164-682E71A4747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436974744606357"/>
          <c:y val="0.19345100609643312"/>
          <c:w val="0.32139204810961974"/>
          <c:h val="0.77024785078678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BF-4EFD-B164-682E71A474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BF-4EFD-B164-682E71A474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BF-4EFD-B164-682E71A474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BF-4EFD-B164-682E71A474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BF-4EFD-B164-682E71A47474}"/>
              </c:ext>
            </c:extLst>
          </c:dPt>
          <c:dLbls>
            <c:delete val="1"/>
          </c:dLbls>
          <c:cat>
            <c:numRef>
              <c:f>FORMULA!$G$14:$G$18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FORMULA!$H$14:$H$18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BF-4EFD-B164-682E71A4747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pictureOptions>
            <c:pictureFormat val="stack"/>
          </c:pictureOptions>
          <c:cat>
            <c:numRef>
              <c:f>FORMULA!$G$6:$G$10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FORMULA!$H$6:$H$10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8-4057-A747-CD9D4B52D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613310047"/>
        <c:axId val="613307551"/>
      </c:barChart>
      <c:catAx>
        <c:axId val="61331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07551"/>
        <c:crosses val="autoZero"/>
        <c:auto val="1"/>
        <c:lblAlgn val="ctr"/>
        <c:lblOffset val="100"/>
        <c:noMultiLvlLbl val="0"/>
      </c:catAx>
      <c:valAx>
        <c:axId val="61330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FEBFD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1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rgbClr val="00B0F0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B1-46A8-BE12-EA1A399FDD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B1-46A8-BE12-EA1A399FDD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B1-46A8-BE12-EA1A399FDD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B1-46A8-BE12-EA1A399FDD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B1-46A8-BE12-EA1A399FDD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FORMULA!$G$6:$G$10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FORMULA!$H$6:$H$10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B1-46A8-BE12-EA1A399FDD9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00B0F0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invertIfNegative val="0"/>
          <c:pictureOptions>
            <c:pictureFormat val="stack"/>
          </c:pictureOptions>
          <c:cat>
            <c:numRef>
              <c:f>FORMULA!$G$14:$G$18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FORMULA!$H$14:$H$18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7-430C-AA34-9A7D5A20A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613310047"/>
        <c:axId val="613307551"/>
      </c:barChart>
      <c:catAx>
        <c:axId val="61331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07551"/>
        <c:crosses val="autoZero"/>
        <c:auto val="1"/>
        <c:lblAlgn val="ctr"/>
        <c:lblOffset val="100"/>
        <c:noMultiLvlLbl val="0"/>
      </c:catAx>
      <c:valAx>
        <c:axId val="61330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7FDC8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1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rgbClr val="00B050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7E-4AEA-8E44-65E8D4E7B2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7E-4AEA-8E44-65E8D4E7B2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7E-4AEA-8E44-65E8D4E7B2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7E-4AEA-8E44-65E8D4E7B2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7E-4AEA-8E44-65E8D4E7B2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FORMULA!$G$14:$G$18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FORMULA!$H$14:$H$18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7E-4AEA-8E44-65E8D4E7B279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00B050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DENTITA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COVER!A1"/><Relationship Id="rId1" Type="http://schemas.openxmlformats.org/officeDocument/2006/relationships/hyperlink" Target="#KETENTUAN!A1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INPUT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svg"/><Relationship Id="rId2" Type="http://schemas.openxmlformats.org/officeDocument/2006/relationships/image" Target="../media/image6.png"/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svg"/><Relationship Id="rId13" Type="http://schemas.openxmlformats.org/officeDocument/2006/relationships/image" Target="../media/image17.png"/><Relationship Id="rId18" Type="http://schemas.openxmlformats.org/officeDocument/2006/relationships/image" Target="../media/image22.svg"/><Relationship Id="rId3" Type="http://schemas.openxmlformats.org/officeDocument/2006/relationships/image" Target="../media/image9.png"/><Relationship Id="rId21" Type="http://schemas.openxmlformats.org/officeDocument/2006/relationships/hyperlink" Target="#SEPATU!A1"/><Relationship Id="rId7" Type="http://schemas.openxmlformats.org/officeDocument/2006/relationships/image" Target="../media/image13.png"/><Relationship Id="rId12" Type="http://schemas.openxmlformats.org/officeDocument/2006/relationships/chart" Target="../charts/chart4.xml"/><Relationship Id="rId17" Type="http://schemas.openxmlformats.org/officeDocument/2006/relationships/image" Target="../media/image21.png"/><Relationship Id="rId2" Type="http://schemas.openxmlformats.org/officeDocument/2006/relationships/chart" Target="../charts/chart2.xml"/><Relationship Id="rId16" Type="http://schemas.openxmlformats.org/officeDocument/2006/relationships/image" Target="../media/image20.svg"/><Relationship Id="rId20" Type="http://schemas.openxmlformats.org/officeDocument/2006/relationships/image" Target="../media/image24.svg"/><Relationship Id="rId1" Type="http://schemas.openxmlformats.org/officeDocument/2006/relationships/chart" Target="../charts/chart1.xml"/><Relationship Id="rId6" Type="http://schemas.openxmlformats.org/officeDocument/2006/relationships/image" Target="../media/image12.svg"/><Relationship Id="rId11" Type="http://schemas.openxmlformats.org/officeDocument/2006/relationships/chart" Target="../charts/chart3.xml"/><Relationship Id="rId5" Type="http://schemas.openxmlformats.org/officeDocument/2006/relationships/image" Target="../media/image11.png"/><Relationship Id="rId15" Type="http://schemas.openxmlformats.org/officeDocument/2006/relationships/image" Target="../media/image19.png"/><Relationship Id="rId23" Type="http://schemas.openxmlformats.org/officeDocument/2006/relationships/hyperlink" Target="#SANDAL!A1"/><Relationship Id="rId10" Type="http://schemas.openxmlformats.org/officeDocument/2006/relationships/image" Target="../media/image16.svg"/><Relationship Id="rId19" Type="http://schemas.openxmlformats.org/officeDocument/2006/relationships/image" Target="../media/image23.png"/><Relationship Id="rId4" Type="http://schemas.openxmlformats.org/officeDocument/2006/relationships/image" Target="../media/image10.svg"/><Relationship Id="rId9" Type="http://schemas.openxmlformats.org/officeDocument/2006/relationships/image" Target="../media/image15.png"/><Relationship Id="rId14" Type="http://schemas.openxmlformats.org/officeDocument/2006/relationships/image" Target="../media/image18.svg"/><Relationship Id="rId22" Type="http://schemas.openxmlformats.org/officeDocument/2006/relationships/image" Target="../media/image25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image" Target="../media/image27.png"/><Relationship Id="rId4" Type="http://schemas.openxmlformats.org/officeDocument/2006/relationships/hyperlink" Target="#DASHBOARD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27.png"/><Relationship Id="rId4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146050</xdr:rowOff>
    </xdr:from>
    <xdr:to>
      <xdr:col>19</xdr:col>
      <xdr:colOff>247650</xdr:colOff>
      <xdr:row>28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B2E3BB5-058B-4352-933C-752769EF2737}"/>
            </a:ext>
          </a:extLst>
        </xdr:cNvPr>
        <xdr:cNvSpPr/>
      </xdr:nvSpPr>
      <xdr:spPr>
        <a:xfrm>
          <a:off x="254000" y="146050"/>
          <a:ext cx="11576050" cy="5067300"/>
        </a:xfrm>
        <a:prstGeom prst="roundRect">
          <a:avLst>
            <a:gd name="adj" fmla="val 3230"/>
          </a:avLst>
        </a:prstGeom>
        <a:noFill/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2</xdr:col>
      <xdr:colOff>419100</xdr:colOff>
      <xdr:row>6</xdr:row>
      <xdr:rowOff>107950</xdr:rowOff>
    </xdr:from>
    <xdr:to>
      <xdr:col>6</xdr:col>
      <xdr:colOff>533400</xdr:colOff>
      <xdr:row>19</xdr:row>
      <xdr:rowOff>146050</xdr:rowOff>
    </xdr:to>
    <xdr:pic>
      <xdr:nvPicPr>
        <xdr:cNvPr id="14" name="Picture 13" descr="Shoe Rack PNG Transparent Images Free ...">
          <a:extLst>
            <a:ext uri="{FF2B5EF4-FFF2-40B4-BE49-F238E27FC236}">
              <a16:creationId xmlns:a16="http://schemas.microsoft.com/office/drawing/2014/main" id="{C18CCF81-F801-42E1-941F-079C8E9A57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332" t="7522" r="8465" b="7744"/>
        <a:stretch/>
      </xdr:blipFill>
      <xdr:spPr bwMode="auto">
        <a:xfrm>
          <a:off x="1638300" y="1212850"/>
          <a:ext cx="2552700" cy="243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215900</xdr:colOff>
      <xdr:row>22</xdr:row>
      <xdr:rowOff>146050</xdr:rowOff>
    </xdr:from>
    <xdr:to>
      <xdr:col>18</xdr:col>
      <xdr:colOff>400050</xdr:colOff>
      <xdr:row>26</xdr:row>
      <xdr:rowOff>95250</xdr:rowOff>
    </xdr:to>
    <xdr:sp macro="" textlink="">
      <xdr:nvSpPr>
        <xdr:cNvPr id="16" name="Rectangle: Rounded Corners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A421B4F-C22F-4557-836C-54B85610ED28}"/>
            </a:ext>
          </a:extLst>
        </xdr:cNvPr>
        <xdr:cNvSpPr/>
      </xdr:nvSpPr>
      <xdr:spPr>
        <a:xfrm>
          <a:off x="10579100" y="4197350"/>
          <a:ext cx="793750" cy="685800"/>
        </a:xfrm>
        <a:prstGeom prst="roundRect">
          <a:avLst>
            <a:gd name="adj" fmla="val 25974"/>
          </a:avLst>
        </a:prstGeom>
        <a:solidFill>
          <a:schemeClr val="accent4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Berlin Sans FB Demi" panose="020E0802020502020306" pitchFamily="34" charset="0"/>
            </a:rPr>
            <a:t>GO</a:t>
          </a:r>
        </a:p>
      </xdr:txBody>
    </xdr:sp>
    <xdr:clientData/>
  </xdr:twoCellAnchor>
  <xdr:twoCellAnchor>
    <xdr:from>
      <xdr:col>6</xdr:col>
      <xdr:colOff>307766</xdr:colOff>
      <xdr:row>8</xdr:row>
      <xdr:rowOff>142291</xdr:rowOff>
    </xdr:from>
    <xdr:to>
      <xdr:col>17</xdr:col>
      <xdr:colOff>19050</xdr:colOff>
      <xdr:row>16</xdr:row>
      <xdr:rowOff>146050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D7AF08-0AB5-414B-817E-C97E156A026C}"/>
            </a:ext>
          </a:extLst>
        </xdr:cNvPr>
        <xdr:cNvGrpSpPr/>
      </xdr:nvGrpSpPr>
      <xdr:grpSpPr>
        <a:xfrm>
          <a:off x="3965366" y="1615491"/>
          <a:ext cx="6416884" cy="1476959"/>
          <a:chOff x="3857416" y="1539291"/>
          <a:chExt cx="6416884" cy="146425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8C1BCD3-7C17-4C76-8784-05817BF8DF4B}"/>
              </a:ext>
            </a:extLst>
          </xdr:cNvPr>
          <xdr:cNvSpPr/>
        </xdr:nvSpPr>
        <xdr:spPr>
          <a:xfrm>
            <a:off x="3857416" y="1709235"/>
            <a:ext cx="6416884" cy="1294315"/>
          </a:xfrm>
          <a:prstGeom prst="rect">
            <a:avLst/>
          </a:prstGeom>
          <a:noFill/>
        </xdr:spPr>
        <xdr:txBody>
          <a:bodyPr wrap="none" lIns="91440" tIns="45720" rIns="91440" bIns="45720" anchor="ctr">
            <a:noAutofit/>
          </a:bodyPr>
          <a:lstStyle/>
          <a:p>
            <a:pPr algn="ctr"/>
            <a:r>
              <a:rPr lang="en-US" sz="9600" b="0" cap="none" spc="0">
                <a:ln w="19050"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4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Aharoni" panose="02010803020104030203" pitchFamily="2" charset="-79"/>
                <a:cs typeface="Aharoni" panose="02010803020104030203" pitchFamily="2" charset="-79"/>
              </a:rPr>
              <a:t>FUN</a:t>
            </a:r>
            <a:r>
              <a:rPr lang="en-US" sz="9600" b="0" cap="none" spc="0" baseline="0">
                <a:ln w="19050"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4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Aharoni" panose="02010803020104030203" pitchFamily="2" charset="-79"/>
                <a:cs typeface="Aharoni" panose="02010803020104030203" pitchFamily="2" charset="-79"/>
              </a:rPr>
              <a:t> RiSET</a:t>
            </a:r>
            <a:endParaRPr lang="en-US" sz="9600" b="0" cap="none" spc="0">
              <a:ln w="19050">
                <a:solidFill>
                  <a:schemeClr val="accent5">
                    <a:lumMod val="50000"/>
                  </a:schemeClr>
                </a:solidFill>
              </a:ln>
              <a:solidFill>
                <a:schemeClr val="accent4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endParaRPr>
          </a:p>
        </xdr:txBody>
      </xdr:sp>
      <xdr:pic>
        <xdr:nvPicPr>
          <xdr:cNvPr id="15" name="Picture 14" descr="Glass, loop, magnifier, magnifier tool icon icon - Download on Iconfinder">
            <a:extLst>
              <a:ext uri="{FF2B5EF4-FFF2-40B4-BE49-F238E27FC236}">
                <a16:creationId xmlns:a16="http://schemas.microsoft.com/office/drawing/2014/main" id="{46E30079-F4BC-4CC5-8C34-A6C8D9EC9C7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20881649">
            <a:off x="7598237" y="1539291"/>
            <a:ext cx="762710" cy="76736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20E48C9E-7D7D-4166-A020-43E9654D3097}"/>
              </a:ext>
            </a:extLst>
          </xdr:cNvPr>
          <xdr:cNvSpPr/>
        </xdr:nvSpPr>
        <xdr:spPr>
          <a:xfrm>
            <a:off x="7632700" y="2565400"/>
            <a:ext cx="2260600" cy="412750"/>
          </a:xfrm>
          <a:prstGeom prst="rect">
            <a:avLst/>
          </a:prstGeom>
          <a:noFill/>
        </xdr:spPr>
        <xdr:txBody>
          <a:bodyPr wrap="none" lIns="91440" tIns="45720" rIns="91440" bIns="45720" anchor="ctr">
            <a:noAutofit/>
          </a:bodyPr>
          <a:lstStyle/>
          <a:p>
            <a:pPr algn="l"/>
            <a:r>
              <a:rPr lang="en-US" sz="1200" b="0" cap="none" spc="0">
                <a:ln w="0"/>
                <a:solidFill>
                  <a:schemeClr val="bg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BY EDUGRAFIS INTERAKTIF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146050</xdr:rowOff>
    </xdr:from>
    <xdr:to>
      <xdr:col>19</xdr:col>
      <xdr:colOff>247650</xdr:colOff>
      <xdr:row>27</xdr:row>
      <xdr:rowOff>6350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9F98198-E6A9-454D-9615-B0AB8173FFAE}"/>
            </a:ext>
          </a:extLst>
        </xdr:cNvPr>
        <xdr:cNvSpPr/>
      </xdr:nvSpPr>
      <xdr:spPr>
        <a:xfrm>
          <a:off x="254000" y="146050"/>
          <a:ext cx="11576050" cy="5111750"/>
        </a:xfrm>
        <a:prstGeom prst="roundRect">
          <a:avLst>
            <a:gd name="adj" fmla="val 3230"/>
          </a:avLst>
        </a:prstGeom>
        <a:noFill/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8</xdr:col>
      <xdr:colOff>196146</xdr:colOff>
      <xdr:row>4</xdr:row>
      <xdr:rowOff>38633</xdr:rowOff>
    </xdr:from>
    <xdr:ext cx="1969910" cy="311496"/>
    <xdr:sp macro="" textlink="$B$27">
      <xdr:nvSpPr>
        <xdr:cNvPr id="7" name="TextBox 6">
          <a:extLst>
            <a:ext uri="{FF2B5EF4-FFF2-40B4-BE49-F238E27FC236}">
              <a16:creationId xmlns:a16="http://schemas.microsoft.com/office/drawing/2014/main" id="{95D056EB-2D5C-4E92-9373-8521F34577DE}"/>
            </a:ext>
          </a:extLst>
        </xdr:cNvPr>
        <xdr:cNvSpPr txBox="1"/>
      </xdr:nvSpPr>
      <xdr:spPr>
        <a:xfrm>
          <a:off x="5050368" y="793577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7F0457-4F7B-4B2D-975A-637A816E357F}" type="TxLink">
            <a:rPr lang="en-US" sz="14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 algn="ctr"/>
            <a:t>TULIS NAMA KELOMPOK</a:t>
          </a:fld>
          <a:endParaRPr lang="en-ID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oneCellAnchor>
    <xdr:from>
      <xdr:col>7</xdr:col>
      <xdr:colOff>558096</xdr:colOff>
      <xdr:row>8</xdr:row>
      <xdr:rowOff>33693</xdr:rowOff>
    </xdr:from>
    <xdr:ext cx="1969910" cy="311496"/>
    <xdr:sp macro="" textlink="$F$9">
      <xdr:nvSpPr>
        <xdr:cNvPr id="8" name="TextBox 7">
          <a:extLst>
            <a:ext uri="{FF2B5EF4-FFF2-40B4-BE49-F238E27FC236}">
              <a16:creationId xmlns:a16="http://schemas.microsoft.com/office/drawing/2014/main" id="{B9CEAD8E-28E1-4123-8C83-9D636A39CBED}"/>
            </a:ext>
          </a:extLst>
        </xdr:cNvPr>
        <xdr:cNvSpPr txBox="1"/>
      </xdr:nvSpPr>
      <xdr:spPr>
        <a:xfrm>
          <a:off x="4825296" y="1576743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F5DC4715-BEB5-466C-9A86-9B713BE2AB59}" type="TxLink"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 algn="ctr"/>
            <a:t>TULIS NAMA KETUA</a:t>
          </a:fld>
          <a:endParaRPr lang="en-ID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twoCellAnchor>
    <xdr:from>
      <xdr:col>6</xdr:col>
      <xdr:colOff>84666</xdr:colOff>
      <xdr:row>8</xdr:row>
      <xdr:rowOff>42333</xdr:rowOff>
    </xdr:from>
    <xdr:to>
      <xdr:col>6</xdr:col>
      <xdr:colOff>536222</xdr:colOff>
      <xdr:row>9</xdr:row>
      <xdr:rowOff>155222</xdr:rowOff>
    </xdr:to>
    <xdr:sp macro="" textlink="$F$10">
      <xdr:nvSpPr>
        <xdr:cNvPr id="9" name="Rectangle: Rounded Corners 8">
          <a:extLst>
            <a:ext uri="{FF2B5EF4-FFF2-40B4-BE49-F238E27FC236}">
              <a16:creationId xmlns:a16="http://schemas.microsoft.com/office/drawing/2014/main" id="{5ED7CC35-A518-4013-8A15-55B57625EF60}"/>
            </a:ext>
          </a:extLst>
        </xdr:cNvPr>
        <xdr:cNvSpPr/>
      </xdr:nvSpPr>
      <xdr:spPr>
        <a:xfrm>
          <a:off x="3725333" y="1587500"/>
          <a:ext cx="451556" cy="310444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08E1F87-C855-4060-8DC2-EAB8A15C3BC9}" type="TxLink">
            <a:rPr lang="en-US" sz="1600" b="1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16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12</xdr:col>
      <xdr:colOff>91016</xdr:colOff>
      <xdr:row>8</xdr:row>
      <xdr:rowOff>55033</xdr:rowOff>
    </xdr:from>
    <xdr:to>
      <xdr:col>13</xdr:col>
      <xdr:colOff>514350</xdr:colOff>
      <xdr:row>9</xdr:row>
      <xdr:rowOff>167922</xdr:rowOff>
    </xdr:to>
    <xdr:sp macro="" textlink="$O$9">
      <xdr:nvSpPr>
        <xdr:cNvPr id="10" name="Rectangle: Rounded Corners 9">
          <a:extLst>
            <a:ext uri="{FF2B5EF4-FFF2-40B4-BE49-F238E27FC236}">
              <a16:creationId xmlns:a16="http://schemas.microsoft.com/office/drawing/2014/main" id="{48391CC7-3B92-4DCA-BB6A-5757B3E2F576}"/>
            </a:ext>
          </a:extLst>
        </xdr:cNvPr>
        <xdr:cNvSpPr/>
      </xdr:nvSpPr>
      <xdr:spPr>
        <a:xfrm>
          <a:off x="7406216" y="1598083"/>
          <a:ext cx="1032934" cy="309739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FA2DF8-DAD1-406B-A4E7-063D93D3B7C6}" type="TxLink">
            <a:rPr lang="en-US" sz="1400" b="1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0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oneCellAnchor>
    <xdr:from>
      <xdr:col>7</xdr:col>
      <xdr:colOff>548923</xdr:colOff>
      <xdr:row>10</xdr:row>
      <xdr:rowOff>45687</xdr:rowOff>
    </xdr:from>
    <xdr:ext cx="1969910" cy="311496"/>
    <xdr:sp macro="" textlink="$F$11">
      <xdr:nvSpPr>
        <xdr:cNvPr id="11" name="TextBox 10">
          <a:extLst>
            <a:ext uri="{FF2B5EF4-FFF2-40B4-BE49-F238E27FC236}">
              <a16:creationId xmlns:a16="http://schemas.microsoft.com/office/drawing/2014/main" id="{6B902DB2-9A3C-41E4-AB45-412513796EB9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9FDC8F2-068C-4D8D-947B-05426ADD982C}" type="TxLink"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twoCellAnchor>
    <xdr:from>
      <xdr:col>12</xdr:col>
      <xdr:colOff>112181</xdr:colOff>
      <xdr:row>10</xdr:row>
      <xdr:rowOff>33867</xdr:rowOff>
    </xdr:from>
    <xdr:to>
      <xdr:col>13</xdr:col>
      <xdr:colOff>458610</xdr:colOff>
      <xdr:row>11</xdr:row>
      <xdr:rowOff>146756</xdr:rowOff>
    </xdr:to>
    <xdr:sp macro="" textlink="$O$11">
      <xdr:nvSpPr>
        <xdr:cNvPr id="12" name="Rectangle: Rounded Corners 11">
          <a:extLst>
            <a:ext uri="{FF2B5EF4-FFF2-40B4-BE49-F238E27FC236}">
              <a16:creationId xmlns:a16="http://schemas.microsoft.com/office/drawing/2014/main" id="{A6384897-EA2F-49A9-AC28-6676BE125ED1}"/>
            </a:ext>
          </a:extLst>
        </xdr:cNvPr>
        <xdr:cNvSpPr/>
      </xdr:nvSpPr>
      <xdr:spPr>
        <a:xfrm>
          <a:off x="7393514" y="1974145"/>
          <a:ext cx="953207" cy="310444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BF6F6E9-CE5B-472D-B247-9722064722C8}" type="TxLink">
            <a:rPr lang="en-US" sz="1200" b="1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4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oneCellAnchor>
    <xdr:from>
      <xdr:col>7</xdr:col>
      <xdr:colOff>548923</xdr:colOff>
      <xdr:row>12</xdr:row>
      <xdr:rowOff>45687</xdr:rowOff>
    </xdr:from>
    <xdr:ext cx="1969910" cy="311496"/>
    <xdr:sp macro="" textlink="$F$11">
      <xdr:nvSpPr>
        <xdr:cNvPr id="21" name="TextBox 20">
          <a:extLst>
            <a:ext uri="{FF2B5EF4-FFF2-40B4-BE49-F238E27FC236}">
              <a16:creationId xmlns:a16="http://schemas.microsoft.com/office/drawing/2014/main" id="{14BCD6E3-5FF4-46BE-8D26-2A87F99732F7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9FDC8F2-068C-4D8D-947B-05426ADD982C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548923</xdr:colOff>
      <xdr:row>14</xdr:row>
      <xdr:rowOff>45687</xdr:rowOff>
    </xdr:from>
    <xdr:ext cx="1969910" cy="311496"/>
    <xdr:sp macro="" textlink="$F$11">
      <xdr:nvSpPr>
        <xdr:cNvPr id="22" name="TextBox 21">
          <a:extLst>
            <a:ext uri="{FF2B5EF4-FFF2-40B4-BE49-F238E27FC236}">
              <a16:creationId xmlns:a16="http://schemas.microsoft.com/office/drawing/2014/main" id="{F098343E-D950-43D2-9AE6-CED9D54506F2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9FDC8F2-068C-4D8D-947B-05426ADD982C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548923</xdr:colOff>
      <xdr:row>16</xdr:row>
      <xdr:rowOff>45687</xdr:rowOff>
    </xdr:from>
    <xdr:ext cx="1969910" cy="311496"/>
    <xdr:sp macro="" textlink="$F$11">
      <xdr:nvSpPr>
        <xdr:cNvPr id="23" name="TextBox 22">
          <a:extLst>
            <a:ext uri="{FF2B5EF4-FFF2-40B4-BE49-F238E27FC236}">
              <a16:creationId xmlns:a16="http://schemas.microsoft.com/office/drawing/2014/main" id="{1F8BF429-E346-4DDD-9224-71189E9D6F4F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9FDC8F2-068C-4D8D-947B-05426ADD982C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548923</xdr:colOff>
      <xdr:row>18</xdr:row>
      <xdr:rowOff>45687</xdr:rowOff>
    </xdr:from>
    <xdr:ext cx="1969910" cy="311496"/>
    <xdr:sp macro="" textlink="$F$11">
      <xdr:nvSpPr>
        <xdr:cNvPr id="24" name="TextBox 23">
          <a:extLst>
            <a:ext uri="{FF2B5EF4-FFF2-40B4-BE49-F238E27FC236}">
              <a16:creationId xmlns:a16="http://schemas.microsoft.com/office/drawing/2014/main" id="{80316E2E-C5F9-4126-AC0B-2805EEE67EC3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9FDC8F2-068C-4D8D-947B-05426ADD982C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548923</xdr:colOff>
      <xdr:row>20</xdr:row>
      <xdr:rowOff>45687</xdr:rowOff>
    </xdr:from>
    <xdr:ext cx="1969910" cy="311496"/>
    <xdr:sp macro="" textlink="$F$11">
      <xdr:nvSpPr>
        <xdr:cNvPr id="25" name="TextBox 24">
          <a:extLst>
            <a:ext uri="{FF2B5EF4-FFF2-40B4-BE49-F238E27FC236}">
              <a16:creationId xmlns:a16="http://schemas.microsoft.com/office/drawing/2014/main" id="{04BA12A1-2B31-42D6-A0C7-B001D4406286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9FDC8F2-068C-4D8D-947B-05426ADD982C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548923</xdr:colOff>
      <xdr:row>22</xdr:row>
      <xdr:rowOff>45687</xdr:rowOff>
    </xdr:from>
    <xdr:ext cx="1969910" cy="311496"/>
    <xdr:sp macro="" textlink="$F$11">
      <xdr:nvSpPr>
        <xdr:cNvPr id="26" name="TextBox 25">
          <a:extLst>
            <a:ext uri="{FF2B5EF4-FFF2-40B4-BE49-F238E27FC236}">
              <a16:creationId xmlns:a16="http://schemas.microsoft.com/office/drawing/2014/main" id="{5DC1480B-0C88-4C0B-908A-8A027905AA17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9FDC8F2-068C-4D8D-947B-05426ADD982C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/>
            </a:solidFill>
          </a:endParaRPr>
        </a:p>
      </xdr:txBody>
    </xdr:sp>
    <xdr:clientData/>
  </xdr:oneCellAnchor>
  <xdr:twoCellAnchor>
    <xdr:from>
      <xdr:col>12</xdr:col>
      <xdr:colOff>112181</xdr:colOff>
      <xdr:row>12</xdr:row>
      <xdr:rowOff>33867</xdr:rowOff>
    </xdr:from>
    <xdr:to>
      <xdr:col>13</xdr:col>
      <xdr:colOff>458610</xdr:colOff>
      <xdr:row>13</xdr:row>
      <xdr:rowOff>146756</xdr:rowOff>
    </xdr:to>
    <xdr:sp macro="" textlink="$O$13">
      <xdr:nvSpPr>
        <xdr:cNvPr id="27" name="Rectangle: Rounded Corners 26">
          <a:extLst>
            <a:ext uri="{FF2B5EF4-FFF2-40B4-BE49-F238E27FC236}">
              <a16:creationId xmlns:a16="http://schemas.microsoft.com/office/drawing/2014/main" id="{A3F13784-71EC-40A5-8891-BCA4CD457735}"/>
            </a:ext>
          </a:extLst>
        </xdr:cNvPr>
        <xdr:cNvSpPr/>
      </xdr:nvSpPr>
      <xdr:spPr>
        <a:xfrm>
          <a:off x="7393514" y="1974145"/>
          <a:ext cx="953207" cy="310444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E2C8266-10A7-4A0B-8C59-66BE3F99007E}" type="TxLink">
            <a:rPr lang="en-US" sz="12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8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12</xdr:col>
      <xdr:colOff>112181</xdr:colOff>
      <xdr:row>14</xdr:row>
      <xdr:rowOff>33867</xdr:rowOff>
    </xdr:from>
    <xdr:to>
      <xdr:col>13</xdr:col>
      <xdr:colOff>458610</xdr:colOff>
      <xdr:row>15</xdr:row>
      <xdr:rowOff>146756</xdr:rowOff>
    </xdr:to>
    <xdr:sp macro="" textlink="$O$15">
      <xdr:nvSpPr>
        <xdr:cNvPr id="28" name="Rectangle: Rounded Corners 27">
          <a:extLst>
            <a:ext uri="{FF2B5EF4-FFF2-40B4-BE49-F238E27FC236}">
              <a16:creationId xmlns:a16="http://schemas.microsoft.com/office/drawing/2014/main" id="{759DABB4-64B1-4E7B-A83A-2ADB4B0064E9}"/>
            </a:ext>
          </a:extLst>
        </xdr:cNvPr>
        <xdr:cNvSpPr/>
      </xdr:nvSpPr>
      <xdr:spPr>
        <a:xfrm>
          <a:off x="7393514" y="1974145"/>
          <a:ext cx="953207" cy="310444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54F0640-D553-4FB6-BC4A-DCD49930C0C4}" type="TxLink">
            <a:rPr lang="en-US" sz="12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8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12</xdr:col>
      <xdr:colOff>112181</xdr:colOff>
      <xdr:row>16</xdr:row>
      <xdr:rowOff>33867</xdr:rowOff>
    </xdr:from>
    <xdr:to>
      <xdr:col>13</xdr:col>
      <xdr:colOff>458610</xdr:colOff>
      <xdr:row>17</xdr:row>
      <xdr:rowOff>146756</xdr:rowOff>
    </xdr:to>
    <xdr:sp macro="" textlink="$O$17">
      <xdr:nvSpPr>
        <xdr:cNvPr id="29" name="Rectangle: Rounded Corners 28">
          <a:extLst>
            <a:ext uri="{FF2B5EF4-FFF2-40B4-BE49-F238E27FC236}">
              <a16:creationId xmlns:a16="http://schemas.microsoft.com/office/drawing/2014/main" id="{DC8AD7BF-1E4D-4E49-B0C0-6303E516BCD3}"/>
            </a:ext>
          </a:extLst>
        </xdr:cNvPr>
        <xdr:cNvSpPr/>
      </xdr:nvSpPr>
      <xdr:spPr>
        <a:xfrm>
          <a:off x="7393514" y="1974145"/>
          <a:ext cx="953207" cy="310444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D0D84EF-B67D-4A27-AA8D-CBFB205232A5}" type="TxLink">
            <a:rPr lang="en-US" sz="12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8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12</xdr:col>
      <xdr:colOff>112181</xdr:colOff>
      <xdr:row>18</xdr:row>
      <xdr:rowOff>33867</xdr:rowOff>
    </xdr:from>
    <xdr:to>
      <xdr:col>13</xdr:col>
      <xdr:colOff>458610</xdr:colOff>
      <xdr:row>19</xdr:row>
      <xdr:rowOff>146756</xdr:rowOff>
    </xdr:to>
    <xdr:sp macro="" textlink="$O$19">
      <xdr:nvSpPr>
        <xdr:cNvPr id="30" name="Rectangle: Rounded Corners 29">
          <a:extLst>
            <a:ext uri="{FF2B5EF4-FFF2-40B4-BE49-F238E27FC236}">
              <a16:creationId xmlns:a16="http://schemas.microsoft.com/office/drawing/2014/main" id="{1B072FD1-2914-41DC-B2B3-935F1E190AE3}"/>
            </a:ext>
          </a:extLst>
        </xdr:cNvPr>
        <xdr:cNvSpPr/>
      </xdr:nvSpPr>
      <xdr:spPr>
        <a:xfrm>
          <a:off x="7393514" y="1974145"/>
          <a:ext cx="953207" cy="310444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F5DE3FC-7A28-47F6-886B-2322E7979026}" type="TxLink">
            <a:rPr lang="en-US" sz="12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8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12</xdr:col>
      <xdr:colOff>112181</xdr:colOff>
      <xdr:row>20</xdr:row>
      <xdr:rowOff>33867</xdr:rowOff>
    </xdr:from>
    <xdr:to>
      <xdr:col>13</xdr:col>
      <xdr:colOff>458610</xdr:colOff>
      <xdr:row>21</xdr:row>
      <xdr:rowOff>146756</xdr:rowOff>
    </xdr:to>
    <xdr:sp macro="" textlink="$O$21">
      <xdr:nvSpPr>
        <xdr:cNvPr id="31" name="Rectangle: Rounded Corners 30">
          <a:extLst>
            <a:ext uri="{FF2B5EF4-FFF2-40B4-BE49-F238E27FC236}">
              <a16:creationId xmlns:a16="http://schemas.microsoft.com/office/drawing/2014/main" id="{3174A9AC-5B7B-4FFF-B4D2-5E53ACBDAA99}"/>
            </a:ext>
          </a:extLst>
        </xdr:cNvPr>
        <xdr:cNvSpPr/>
      </xdr:nvSpPr>
      <xdr:spPr>
        <a:xfrm>
          <a:off x="7393514" y="1974145"/>
          <a:ext cx="953207" cy="310444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3475AC1-63B5-4C01-9E9C-F52CEBCEF62A}" type="TxLink">
            <a:rPr lang="en-US" sz="12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8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12</xdr:col>
      <xdr:colOff>112181</xdr:colOff>
      <xdr:row>22</xdr:row>
      <xdr:rowOff>33867</xdr:rowOff>
    </xdr:from>
    <xdr:to>
      <xdr:col>13</xdr:col>
      <xdr:colOff>458610</xdr:colOff>
      <xdr:row>23</xdr:row>
      <xdr:rowOff>146756</xdr:rowOff>
    </xdr:to>
    <xdr:sp macro="" textlink="$O$23">
      <xdr:nvSpPr>
        <xdr:cNvPr id="32" name="Rectangle: Rounded Corners 31">
          <a:extLst>
            <a:ext uri="{FF2B5EF4-FFF2-40B4-BE49-F238E27FC236}">
              <a16:creationId xmlns:a16="http://schemas.microsoft.com/office/drawing/2014/main" id="{22698B9A-A497-48EF-AF50-81010A4A9883}"/>
            </a:ext>
          </a:extLst>
        </xdr:cNvPr>
        <xdr:cNvSpPr/>
      </xdr:nvSpPr>
      <xdr:spPr>
        <a:xfrm>
          <a:off x="7393514" y="1974145"/>
          <a:ext cx="953207" cy="310444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8991994-78F7-4DEF-AD84-066C32B8711F}" type="TxLink">
            <a:rPr lang="en-US" sz="12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8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oneCellAnchor>
    <xdr:from>
      <xdr:col>7</xdr:col>
      <xdr:colOff>548923</xdr:colOff>
      <xdr:row>12</xdr:row>
      <xdr:rowOff>45687</xdr:rowOff>
    </xdr:from>
    <xdr:ext cx="1969910" cy="311496"/>
    <xdr:sp macro="" textlink="$F$13">
      <xdr:nvSpPr>
        <xdr:cNvPr id="33" name="TextBox 32">
          <a:extLst>
            <a:ext uri="{FF2B5EF4-FFF2-40B4-BE49-F238E27FC236}">
              <a16:creationId xmlns:a16="http://schemas.microsoft.com/office/drawing/2014/main" id="{84181388-9BC8-46C6-A226-03CFE6DDC6CC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FA8D6583-8AAC-4AE7-A2BD-CB7DD85987A3}" type="TxLink"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oneCellAnchor>
    <xdr:from>
      <xdr:col>7</xdr:col>
      <xdr:colOff>548923</xdr:colOff>
      <xdr:row>14</xdr:row>
      <xdr:rowOff>45687</xdr:rowOff>
    </xdr:from>
    <xdr:ext cx="1969910" cy="311496"/>
    <xdr:sp macro="" textlink="$F$15">
      <xdr:nvSpPr>
        <xdr:cNvPr id="34" name="TextBox 33">
          <a:extLst>
            <a:ext uri="{FF2B5EF4-FFF2-40B4-BE49-F238E27FC236}">
              <a16:creationId xmlns:a16="http://schemas.microsoft.com/office/drawing/2014/main" id="{094DED5C-4C37-4D63-86F4-E207D3099765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2A2B9139-95C2-4758-B31C-836C409FF603}" type="TxLink"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oneCellAnchor>
    <xdr:from>
      <xdr:col>7</xdr:col>
      <xdr:colOff>548923</xdr:colOff>
      <xdr:row>16</xdr:row>
      <xdr:rowOff>45687</xdr:rowOff>
    </xdr:from>
    <xdr:ext cx="1969910" cy="311496"/>
    <xdr:sp macro="" textlink="$F$17">
      <xdr:nvSpPr>
        <xdr:cNvPr id="35" name="TextBox 34">
          <a:extLst>
            <a:ext uri="{FF2B5EF4-FFF2-40B4-BE49-F238E27FC236}">
              <a16:creationId xmlns:a16="http://schemas.microsoft.com/office/drawing/2014/main" id="{A1912653-9C02-4B03-B49A-2440A6FD928D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D54C2A70-C1C1-41B1-8475-6122ADDC41A6}" type="TxLink"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oneCellAnchor>
    <xdr:from>
      <xdr:col>7</xdr:col>
      <xdr:colOff>548923</xdr:colOff>
      <xdr:row>18</xdr:row>
      <xdr:rowOff>45687</xdr:rowOff>
    </xdr:from>
    <xdr:ext cx="1969910" cy="311496"/>
    <xdr:sp macro="" textlink="$F$19">
      <xdr:nvSpPr>
        <xdr:cNvPr id="36" name="TextBox 35">
          <a:extLst>
            <a:ext uri="{FF2B5EF4-FFF2-40B4-BE49-F238E27FC236}">
              <a16:creationId xmlns:a16="http://schemas.microsoft.com/office/drawing/2014/main" id="{43BAE150-5304-48B2-8039-2E37DFBD0F4A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7F9A7E0-00B9-4535-9C1C-08965BAF2189}" type="TxLink"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oneCellAnchor>
    <xdr:from>
      <xdr:col>7</xdr:col>
      <xdr:colOff>548923</xdr:colOff>
      <xdr:row>20</xdr:row>
      <xdr:rowOff>45687</xdr:rowOff>
    </xdr:from>
    <xdr:ext cx="1969910" cy="311496"/>
    <xdr:sp macro="" textlink="$F$21">
      <xdr:nvSpPr>
        <xdr:cNvPr id="37" name="TextBox 36">
          <a:extLst>
            <a:ext uri="{FF2B5EF4-FFF2-40B4-BE49-F238E27FC236}">
              <a16:creationId xmlns:a16="http://schemas.microsoft.com/office/drawing/2014/main" id="{85D6D4BA-2F94-414B-876A-22DA854B35F3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1DE47017-5990-41EC-B18E-395E8F485C2D}" type="TxLink"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oneCellAnchor>
    <xdr:from>
      <xdr:col>7</xdr:col>
      <xdr:colOff>548923</xdr:colOff>
      <xdr:row>22</xdr:row>
      <xdr:rowOff>45687</xdr:rowOff>
    </xdr:from>
    <xdr:ext cx="1969910" cy="311496"/>
    <xdr:sp macro="" textlink="$F$23">
      <xdr:nvSpPr>
        <xdr:cNvPr id="38" name="TextBox 37">
          <a:extLst>
            <a:ext uri="{FF2B5EF4-FFF2-40B4-BE49-F238E27FC236}">
              <a16:creationId xmlns:a16="http://schemas.microsoft.com/office/drawing/2014/main" id="{87E7A2BC-DF6D-4506-AAC4-A6FE4A5054E9}"/>
            </a:ext>
          </a:extLst>
        </xdr:cNvPr>
        <xdr:cNvSpPr txBox="1"/>
      </xdr:nvSpPr>
      <xdr:spPr>
        <a:xfrm>
          <a:off x="4796367" y="1985965"/>
          <a:ext cx="196991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80139C6F-99D4-41AB-97B4-BBA125FCB981}" type="TxLink"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 algn="ctr"/>
            <a:t>TULIS NAMA ANGGOTA</a:t>
          </a:fld>
          <a:endParaRPr lang="en-ID" sz="14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twoCellAnchor>
    <xdr:from>
      <xdr:col>6</xdr:col>
      <xdr:colOff>84666</xdr:colOff>
      <xdr:row>10</xdr:row>
      <xdr:rowOff>42333</xdr:rowOff>
    </xdr:from>
    <xdr:to>
      <xdr:col>6</xdr:col>
      <xdr:colOff>536222</xdr:colOff>
      <xdr:row>11</xdr:row>
      <xdr:rowOff>155222</xdr:rowOff>
    </xdr:to>
    <xdr:sp macro="" textlink="$F$12">
      <xdr:nvSpPr>
        <xdr:cNvPr id="39" name="Rectangle: Rounded Corners 38">
          <a:extLst>
            <a:ext uri="{FF2B5EF4-FFF2-40B4-BE49-F238E27FC236}">
              <a16:creationId xmlns:a16="http://schemas.microsoft.com/office/drawing/2014/main" id="{AADE9564-C10C-40E2-854F-4CFF62B0E35B}"/>
            </a:ext>
          </a:extLst>
        </xdr:cNvPr>
        <xdr:cNvSpPr/>
      </xdr:nvSpPr>
      <xdr:spPr>
        <a:xfrm>
          <a:off x="3729014" y="1593942"/>
          <a:ext cx="451556" cy="311671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A4B17A7-5D76-4C2F-BF5D-C0C2037E44C2}" type="TxLink">
            <a:rPr lang="en-US" sz="16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4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6</xdr:col>
      <xdr:colOff>84666</xdr:colOff>
      <xdr:row>12</xdr:row>
      <xdr:rowOff>42333</xdr:rowOff>
    </xdr:from>
    <xdr:to>
      <xdr:col>6</xdr:col>
      <xdr:colOff>536222</xdr:colOff>
      <xdr:row>13</xdr:row>
      <xdr:rowOff>155222</xdr:rowOff>
    </xdr:to>
    <xdr:sp macro="" textlink="$F$14">
      <xdr:nvSpPr>
        <xdr:cNvPr id="40" name="Rectangle: Rounded Corners 39">
          <a:extLst>
            <a:ext uri="{FF2B5EF4-FFF2-40B4-BE49-F238E27FC236}">
              <a16:creationId xmlns:a16="http://schemas.microsoft.com/office/drawing/2014/main" id="{77C7E36E-8526-4159-A142-4B24894EF8EC}"/>
            </a:ext>
          </a:extLst>
        </xdr:cNvPr>
        <xdr:cNvSpPr/>
      </xdr:nvSpPr>
      <xdr:spPr>
        <a:xfrm>
          <a:off x="3729014" y="1593942"/>
          <a:ext cx="451556" cy="311671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0FDC3EA-23A6-4F3B-AA73-C5A82E5DF3BE}" type="TxLink">
            <a:rPr lang="en-US" sz="16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4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6</xdr:col>
      <xdr:colOff>84666</xdr:colOff>
      <xdr:row>14</xdr:row>
      <xdr:rowOff>42333</xdr:rowOff>
    </xdr:from>
    <xdr:to>
      <xdr:col>6</xdr:col>
      <xdr:colOff>536222</xdr:colOff>
      <xdr:row>15</xdr:row>
      <xdr:rowOff>155222</xdr:rowOff>
    </xdr:to>
    <xdr:sp macro="" textlink="$F$16">
      <xdr:nvSpPr>
        <xdr:cNvPr id="41" name="Rectangle: Rounded Corners 40">
          <a:extLst>
            <a:ext uri="{FF2B5EF4-FFF2-40B4-BE49-F238E27FC236}">
              <a16:creationId xmlns:a16="http://schemas.microsoft.com/office/drawing/2014/main" id="{DDA4B4B3-06D2-42E4-88F6-206136B3D260}"/>
            </a:ext>
          </a:extLst>
        </xdr:cNvPr>
        <xdr:cNvSpPr/>
      </xdr:nvSpPr>
      <xdr:spPr>
        <a:xfrm>
          <a:off x="3729014" y="1593942"/>
          <a:ext cx="451556" cy="311671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3F0504E-6E35-4AEA-A701-A97D0CD5E0AC}" type="TxLink">
            <a:rPr lang="en-US" sz="16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4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6</xdr:col>
      <xdr:colOff>84666</xdr:colOff>
      <xdr:row>16</xdr:row>
      <xdr:rowOff>42333</xdr:rowOff>
    </xdr:from>
    <xdr:to>
      <xdr:col>6</xdr:col>
      <xdr:colOff>536222</xdr:colOff>
      <xdr:row>17</xdr:row>
      <xdr:rowOff>155222</xdr:rowOff>
    </xdr:to>
    <xdr:sp macro="" textlink="$F$18">
      <xdr:nvSpPr>
        <xdr:cNvPr id="42" name="Rectangle: Rounded Corners 41">
          <a:extLst>
            <a:ext uri="{FF2B5EF4-FFF2-40B4-BE49-F238E27FC236}">
              <a16:creationId xmlns:a16="http://schemas.microsoft.com/office/drawing/2014/main" id="{55EC4559-3003-48FC-B2D7-C2B078A65096}"/>
            </a:ext>
          </a:extLst>
        </xdr:cNvPr>
        <xdr:cNvSpPr/>
      </xdr:nvSpPr>
      <xdr:spPr>
        <a:xfrm>
          <a:off x="3729014" y="1593942"/>
          <a:ext cx="451556" cy="311671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C341995-6BBB-4C69-9589-6826887B3800}" type="TxLink">
            <a:rPr lang="en-US" sz="16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4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6</xdr:col>
      <xdr:colOff>84666</xdr:colOff>
      <xdr:row>18</xdr:row>
      <xdr:rowOff>42333</xdr:rowOff>
    </xdr:from>
    <xdr:to>
      <xdr:col>6</xdr:col>
      <xdr:colOff>536222</xdr:colOff>
      <xdr:row>19</xdr:row>
      <xdr:rowOff>155222</xdr:rowOff>
    </xdr:to>
    <xdr:sp macro="" textlink="$F$20">
      <xdr:nvSpPr>
        <xdr:cNvPr id="43" name="Rectangle: Rounded Corners 42">
          <a:extLst>
            <a:ext uri="{FF2B5EF4-FFF2-40B4-BE49-F238E27FC236}">
              <a16:creationId xmlns:a16="http://schemas.microsoft.com/office/drawing/2014/main" id="{A3680D7F-1D14-49A8-9078-BC21D0C07C59}"/>
            </a:ext>
          </a:extLst>
        </xdr:cNvPr>
        <xdr:cNvSpPr/>
      </xdr:nvSpPr>
      <xdr:spPr>
        <a:xfrm>
          <a:off x="3729014" y="1593942"/>
          <a:ext cx="451556" cy="311671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3A051BF-1847-4C25-95CE-B42267D3C93C}" type="TxLink">
            <a:rPr lang="en-US" sz="16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4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6</xdr:col>
      <xdr:colOff>84666</xdr:colOff>
      <xdr:row>20</xdr:row>
      <xdr:rowOff>42333</xdr:rowOff>
    </xdr:from>
    <xdr:to>
      <xdr:col>6</xdr:col>
      <xdr:colOff>536222</xdr:colOff>
      <xdr:row>21</xdr:row>
      <xdr:rowOff>155222</xdr:rowOff>
    </xdr:to>
    <xdr:sp macro="" textlink="$F$22">
      <xdr:nvSpPr>
        <xdr:cNvPr id="44" name="Rectangle: Rounded Corners 43">
          <a:extLst>
            <a:ext uri="{FF2B5EF4-FFF2-40B4-BE49-F238E27FC236}">
              <a16:creationId xmlns:a16="http://schemas.microsoft.com/office/drawing/2014/main" id="{E7B65563-3434-43CF-99D5-94C262254C32}"/>
            </a:ext>
          </a:extLst>
        </xdr:cNvPr>
        <xdr:cNvSpPr/>
      </xdr:nvSpPr>
      <xdr:spPr>
        <a:xfrm>
          <a:off x="3729014" y="1593942"/>
          <a:ext cx="451556" cy="311671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1BD137C-A6A9-4F27-9D7E-0A93927C47B5}" type="TxLink">
            <a:rPr lang="en-US" sz="16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4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6</xdr:col>
      <xdr:colOff>84666</xdr:colOff>
      <xdr:row>22</xdr:row>
      <xdr:rowOff>42333</xdr:rowOff>
    </xdr:from>
    <xdr:to>
      <xdr:col>6</xdr:col>
      <xdr:colOff>536222</xdr:colOff>
      <xdr:row>23</xdr:row>
      <xdr:rowOff>155222</xdr:rowOff>
    </xdr:to>
    <xdr:sp macro="" textlink="$F$24">
      <xdr:nvSpPr>
        <xdr:cNvPr id="45" name="Rectangle: Rounded Corners 44">
          <a:extLst>
            <a:ext uri="{FF2B5EF4-FFF2-40B4-BE49-F238E27FC236}">
              <a16:creationId xmlns:a16="http://schemas.microsoft.com/office/drawing/2014/main" id="{A4084D80-8058-4DAA-A7CD-C85E7F832C0A}"/>
            </a:ext>
          </a:extLst>
        </xdr:cNvPr>
        <xdr:cNvSpPr/>
      </xdr:nvSpPr>
      <xdr:spPr>
        <a:xfrm>
          <a:off x="3729014" y="1593942"/>
          <a:ext cx="451556" cy="311671"/>
        </a:xfrm>
        <a:prstGeom prst="roundRect">
          <a:avLst>
            <a:gd name="adj" fmla="val 303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12D6AEB-29DA-486E-9A12-DFE3E578A5DE}" type="TxLink">
            <a:rPr lang="en-US" sz="1600" b="0" i="0" u="none" strike="noStrike">
              <a:solidFill>
                <a:schemeClr val="accent3"/>
              </a:solidFill>
              <a:latin typeface="Berlin Sans FB Demi" panose="020E0802020502020306" pitchFamily="34" charset="0"/>
              <a:ea typeface="Calibri"/>
              <a:cs typeface="Calibri"/>
            </a:rPr>
            <a:pPr algn="ctr"/>
            <a:t> </a:t>
          </a:fld>
          <a:endParaRPr lang="en-ID" sz="2400" b="1">
            <a:solidFill>
              <a:schemeClr val="accent3"/>
            </a:solidFill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17</xdr:col>
      <xdr:colOff>203200</xdr:colOff>
      <xdr:row>22</xdr:row>
      <xdr:rowOff>44450</xdr:rowOff>
    </xdr:from>
    <xdr:to>
      <xdr:col>18</xdr:col>
      <xdr:colOff>387350</xdr:colOff>
      <xdr:row>25</xdr:row>
      <xdr:rowOff>146050</xdr:rowOff>
    </xdr:to>
    <xdr:sp macro="" textlink="">
      <xdr:nvSpPr>
        <xdr:cNvPr id="46" name="Rectangle: Rounded Corner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CD15B2-A586-438E-BEF0-66793696B9F8}"/>
            </a:ext>
          </a:extLst>
        </xdr:cNvPr>
        <xdr:cNvSpPr/>
      </xdr:nvSpPr>
      <xdr:spPr>
        <a:xfrm>
          <a:off x="10566400" y="4343400"/>
          <a:ext cx="793750" cy="685800"/>
        </a:xfrm>
        <a:prstGeom prst="roundRect">
          <a:avLst>
            <a:gd name="adj" fmla="val 25974"/>
          </a:avLst>
        </a:prstGeom>
        <a:solidFill>
          <a:schemeClr val="accent4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Berlin Sans FB Demi" panose="020E0802020502020306" pitchFamily="34" charset="0"/>
            </a:rPr>
            <a:t>GO</a:t>
          </a:r>
        </a:p>
      </xdr:txBody>
    </xdr:sp>
    <xdr:clientData/>
  </xdr:twoCellAnchor>
  <xdr:twoCellAnchor>
    <xdr:from>
      <xdr:col>1</xdr:col>
      <xdr:colOff>69787</xdr:colOff>
      <xdr:row>20</xdr:row>
      <xdr:rowOff>120022</xdr:rowOff>
    </xdr:from>
    <xdr:to>
      <xdr:col>2</xdr:col>
      <xdr:colOff>412687</xdr:colOff>
      <xdr:row>25</xdr:row>
      <xdr:rowOff>107322</xdr:rowOff>
    </xdr:to>
    <xdr:grpSp>
      <xdr:nvGrpSpPr>
        <xdr:cNvPr id="50" name="Group 4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18A2AC-E692-4E78-BA68-4F487FA42684}"/>
            </a:ext>
          </a:extLst>
        </xdr:cNvPr>
        <xdr:cNvGrpSpPr/>
      </xdr:nvGrpSpPr>
      <xdr:grpSpPr>
        <a:xfrm>
          <a:off x="679638" y="3986606"/>
          <a:ext cx="952752" cy="955518"/>
          <a:chOff x="673100" y="3962400"/>
          <a:chExt cx="952500" cy="965200"/>
        </a:xfrm>
      </xdr:grpSpPr>
      <xdr:pic>
        <xdr:nvPicPr>
          <xdr:cNvPr id="48" name="Graphic 47" descr="Back with solid fill">
            <a:extLst>
              <a:ext uri="{FF2B5EF4-FFF2-40B4-BE49-F238E27FC236}">
                <a16:creationId xmlns:a16="http://schemas.microsoft.com/office/drawing/2014/main" id="{EE705318-AFE5-4CB4-AAFE-71833BB9FC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11200" y="3962400"/>
            <a:ext cx="914400" cy="914400"/>
          </a:xfrm>
          <a:prstGeom prst="rect">
            <a:avLst/>
          </a:prstGeom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E747239A-D9D6-4966-8C25-4B0D8173397F}"/>
              </a:ext>
            </a:extLst>
          </xdr:cNvPr>
          <xdr:cNvSpPr txBox="1"/>
        </xdr:nvSpPr>
        <xdr:spPr>
          <a:xfrm>
            <a:off x="673100" y="4552950"/>
            <a:ext cx="939800" cy="374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400" b="1">
                <a:ln>
                  <a:solidFill>
                    <a:schemeClr val="bg1">
                      <a:lumMod val="75000"/>
                    </a:schemeClr>
                  </a:solidFill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Berlin Sans FB Demi" panose="020E0802020502020306" pitchFamily="34" charset="0"/>
              </a:rPr>
              <a:t>BACK</a:t>
            </a:r>
          </a:p>
        </xdr:txBody>
      </xdr:sp>
    </xdr:grpSp>
    <xdr:clientData/>
  </xdr:twoCellAnchor>
  <xdr:oneCellAnchor>
    <xdr:from>
      <xdr:col>7</xdr:col>
      <xdr:colOff>571500</xdr:colOff>
      <xdr:row>24</xdr:row>
      <xdr:rowOff>0</xdr:rowOff>
    </xdr:from>
    <xdr:ext cx="2260600" cy="412750"/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7ACDE53E-15B2-4C22-8A87-AEED76C9E807}"/>
            </a:ext>
          </a:extLst>
        </xdr:cNvPr>
        <xdr:cNvSpPr/>
      </xdr:nvSpPr>
      <xdr:spPr>
        <a:xfrm>
          <a:off x="4838700" y="4692650"/>
          <a:ext cx="2260600" cy="412750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l"/>
          <a:r>
            <a:rPr lang="en-US" sz="1200" b="0" cap="none" spc="0">
              <a:ln w="0"/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BY EDUGRAFIS INTERAKTIF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0</xdr:row>
      <xdr:rowOff>120650</xdr:rowOff>
    </xdr:from>
    <xdr:to>
      <xdr:col>12</xdr:col>
      <xdr:colOff>342900</xdr:colOff>
      <xdr:row>5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EFC27A-F601-4BB0-AFE8-26A3CEE29FB2}"/>
            </a:ext>
          </a:extLst>
        </xdr:cNvPr>
        <xdr:cNvSpPr txBox="1"/>
      </xdr:nvSpPr>
      <xdr:spPr>
        <a:xfrm>
          <a:off x="3911600" y="120650"/>
          <a:ext cx="3594100" cy="850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4400" b="1" baseline="0">
              <a:solidFill>
                <a:schemeClr val="accent2"/>
              </a:solidFill>
              <a:latin typeface="Arial Rounded MT Bold" panose="020F0704030504030204" pitchFamily="34" charset="0"/>
            </a:rPr>
            <a:t>Ketentuan</a:t>
          </a:r>
          <a:endParaRPr lang="en-ID" sz="4400" b="1">
            <a:solidFill>
              <a:srgbClr val="00B0F0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17</xdr:col>
      <xdr:colOff>0</xdr:colOff>
      <xdr:row>19</xdr:row>
      <xdr:rowOff>0</xdr:rowOff>
    </xdr:from>
    <xdr:to>
      <xdr:col>18</xdr:col>
      <xdr:colOff>184150</xdr:colOff>
      <xdr:row>22</xdr:row>
      <xdr:rowOff>133350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0954C6-566B-47A8-85C0-2B59C3CC52B3}"/>
            </a:ext>
          </a:extLst>
        </xdr:cNvPr>
        <xdr:cNvSpPr/>
      </xdr:nvSpPr>
      <xdr:spPr>
        <a:xfrm>
          <a:off x="10210800" y="3956050"/>
          <a:ext cx="793750" cy="685800"/>
        </a:xfrm>
        <a:prstGeom prst="roundRect">
          <a:avLst>
            <a:gd name="adj" fmla="val 25974"/>
          </a:avLst>
        </a:prstGeom>
        <a:solidFill>
          <a:schemeClr val="accent4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Berlin Sans FB Demi" panose="020E0802020502020306" pitchFamily="34" charset="0"/>
            </a:rPr>
            <a:t>GO</a:t>
          </a:r>
        </a:p>
      </xdr:txBody>
    </xdr:sp>
    <xdr:clientData/>
  </xdr:twoCellAnchor>
  <xdr:twoCellAnchor editAs="oneCell">
    <xdr:from>
      <xdr:col>0</xdr:col>
      <xdr:colOff>323850</xdr:colOff>
      <xdr:row>7</xdr:row>
      <xdr:rowOff>330200</xdr:rowOff>
    </xdr:from>
    <xdr:to>
      <xdr:col>2</xdr:col>
      <xdr:colOff>61805</xdr:colOff>
      <xdr:row>10</xdr:row>
      <xdr:rowOff>20357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6180E8-5ED2-4B10-9872-BB15BAEF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1784350"/>
          <a:ext cx="957155" cy="4267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304801</xdr:colOff>
      <xdr:row>0</xdr:row>
      <xdr:rowOff>508000</xdr:rowOff>
    </xdr:from>
    <xdr:to>
      <xdr:col>10</xdr:col>
      <xdr:colOff>400051</xdr:colOff>
      <xdr:row>18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C6F5380-98E1-47FB-A670-666F00398B54}"/>
            </a:ext>
          </a:extLst>
        </xdr:cNvPr>
        <xdr:cNvSpPr/>
      </xdr:nvSpPr>
      <xdr:spPr>
        <a:xfrm>
          <a:off x="304801" y="508000"/>
          <a:ext cx="8655050" cy="3663950"/>
        </a:xfrm>
        <a:prstGeom prst="roundRect">
          <a:avLst>
            <a:gd name="adj" fmla="val 3230"/>
          </a:avLst>
        </a:prstGeom>
        <a:noFill/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absolute">
    <xdr:from>
      <xdr:col>6</xdr:col>
      <xdr:colOff>610694</xdr:colOff>
      <xdr:row>2</xdr:row>
      <xdr:rowOff>58768</xdr:rowOff>
    </xdr:from>
    <xdr:to>
      <xdr:col>10</xdr:col>
      <xdr:colOff>21577</xdr:colOff>
      <xdr:row>3</xdr:row>
      <xdr:rowOff>94191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FB187A8-A556-4EEF-A834-7683F65A498A}"/>
            </a:ext>
          </a:extLst>
        </xdr:cNvPr>
        <xdr:cNvSpPr/>
      </xdr:nvSpPr>
      <xdr:spPr>
        <a:xfrm>
          <a:off x="6310877" y="812301"/>
          <a:ext cx="2257800" cy="267198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l"/>
          <a:r>
            <a:rPr lang="en-US" sz="1200" b="0" cap="none" spc="0">
              <a:ln w="0"/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BY EDUGRAFIS INTERAKTIF</a:t>
          </a:r>
        </a:p>
      </xdr:txBody>
    </xdr:sp>
    <xdr:clientData/>
  </xdr:twoCellAnchor>
  <xdr:twoCellAnchor editAs="absolute">
    <xdr:from>
      <xdr:col>3</xdr:col>
      <xdr:colOff>268942</xdr:colOff>
      <xdr:row>0</xdr:row>
      <xdr:rowOff>510117</xdr:rowOff>
    </xdr:from>
    <xdr:to>
      <xdr:col>9</xdr:col>
      <xdr:colOff>481018</xdr:colOff>
      <xdr:row>2</xdr:row>
      <xdr:rowOff>166132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353DD39-63E1-4A1E-A34B-A56F6E792506}"/>
            </a:ext>
          </a:extLst>
        </xdr:cNvPr>
        <xdr:cNvSpPr/>
      </xdr:nvSpPr>
      <xdr:spPr>
        <a:xfrm>
          <a:off x="3687359" y="510117"/>
          <a:ext cx="4731159" cy="408490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en-US" sz="2400" b="1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BUDAYA RAPI SEPATU SANDAL</a:t>
          </a:r>
        </a:p>
      </xdr:txBody>
    </xdr:sp>
    <xdr:clientData/>
  </xdr:twoCellAnchor>
  <xdr:twoCellAnchor editAs="absolute">
    <xdr:from>
      <xdr:col>2</xdr:col>
      <xdr:colOff>1263650</xdr:colOff>
      <xdr:row>0</xdr:row>
      <xdr:rowOff>63500</xdr:rowOff>
    </xdr:from>
    <xdr:to>
      <xdr:col>7</xdr:col>
      <xdr:colOff>50800</xdr:colOff>
      <xdr:row>0</xdr:row>
      <xdr:rowOff>393700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C4EA276A-95FC-4716-8523-670F42192E99}"/>
            </a:ext>
          </a:extLst>
        </xdr:cNvPr>
        <xdr:cNvGrpSpPr/>
      </xdr:nvGrpSpPr>
      <xdr:grpSpPr>
        <a:xfrm>
          <a:off x="2482850" y="63500"/>
          <a:ext cx="4552950" cy="330200"/>
          <a:chOff x="3701562" y="50800"/>
          <a:chExt cx="4559788" cy="330200"/>
        </a:xfrm>
      </xdr:grpSpPr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6EFDE793-B12C-4852-821C-1DA3BF52FC6D}"/>
              </a:ext>
            </a:extLst>
          </xdr:cNvPr>
          <xdr:cNvSpPr/>
        </xdr:nvSpPr>
        <xdr:spPr>
          <a:xfrm>
            <a:off x="3701562" y="50800"/>
            <a:ext cx="4559788" cy="330200"/>
          </a:xfrm>
          <a:prstGeom prst="roundRect">
            <a:avLst>
              <a:gd name="adj" fmla="val 50000"/>
            </a:avLst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42" name="Rectangle: Rounded Corners 41">
            <a:extLst>
              <a:ext uri="{FF2B5EF4-FFF2-40B4-BE49-F238E27FC236}">
                <a16:creationId xmlns:a16="http://schemas.microsoft.com/office/drawing/2014/main" id="{3D4281D3-9836-4E5E-91A7-BA5F0A850831}"/>
              </a:ext>
            </a:extLst>
          </xdr:cNvPr>
          <xdr:cNvSpPr/>
        </xdr:nvSpPr>
        <xdr:spPr>
          <a:xfrm>
            <a:off x="3737220" y="78154"/>
            <a:ext cx="1545912" cy="273538"/>
          </a:xfrm>
          <a:prstGeom prst="roundRect">
            <a:avLst>
              <a:gd name="adj" fmla="val 50000"/>
            </a:avLst>
          </a:prstGeom>
          <a:solidFill>
            <a:schemeClr val="accent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200" b="1"/>
              <a:t>INSIGHT</a:t>
            </a:r>
            <a:endParaRPr lang="en-ID" sz="1100" b="1"/>
          </a:p>
        </xdr:txBody>
      </xdr:sp>
      <xdr:sp macro="" textlink="">
        <xdr:nvSpPr>
          <xdr:cNvPr id="43" name="Rectangle: Rounded Corners 42">
            <a:extLst>
              <a:ext uri="{FF2B5EF4-FFF2-40B4-BE49-F238E27FC236}">
                <a16:creationId xmlns:a16="http://schemas.microsoft.com/office/drawing/2014/main" id="{665EA159-DD3A-48DB-B4FA-349A1704031E}"/>
              </a:ext>
            </a:extLst>
          </xdr:cNvPr>
          <xdr:cNvSpPr/>
        </xdr:nvSpPr>
        <xdr:spPr>
          <a:xfrm>
            <a:off x="5378450" y="78155"/>
            <a:ext cx="1337896" cy="273538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200">
                <a:solidFill>
                  <a:schemeClr val="tx1">
                    <a:lumMod val="50000"/>
                    <a:lumOff val="50000"/>
                  </a:schemeClr>
                </a:solidFill>
              </a:rPr>
              <a:t>IDEA</a:t>
            </a:r>
            <a:endParaRPr lang="en-ID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86DD3980-351F-40C5-9927-E64BB9491728}"/>
              </a:ext>
            </a:extLst>
          </xdr:cNvPr>
          <xdr:cNvSpPr/>
        </xdr:nvSpPr>
        <xdr:spPr>
          <a:xfrm>
            <a:off x="6745654" y="78154"/>
            <a:ext cx="1450730" cy="273538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200">
                <a:solidFill>
                  <a:schemeClr val="tx1">
                    <a:lumMod val="50000"/>
                    <a:lumOff val="50000"/>
                  </a:schemeClr>
                </a:solidFill>
              </a:rPr>
              <a:t>IMPLEMENTATION</a:t>
            </a:r>
            <a:endParaRPr lang="en-ID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97117</xdr:colOff>
      <xdr:row>4</xdr:row>
      <xdr:rowOff>133349</xdr:rowOff>
    </xdr:from>
    <xdr:to>
      <xdr:col>10</xdr:col>
      <xdr:colOff>196851</xdr:colOff>
      <xdr:row>17</xdr:row>
      <xdr:rowOff>104588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4D33305-A744-4E11-93F3-D8CAF7150B91}"/>
            </a:ext>
          </a:extLst>
        </xdr:cNvPr>
        <xdr:cNvSpPr/>
      </xdr:nvSpPr>
      <xdr:spPr>
        <a:xfrm>
          <a:off x="8510867" y="1447799"/>
          <a:ext cx="1674534" cy="2581089"/>
        </a:xfrm>
        <a:prstGeom prst="rect">
          <a:avLst/>
        </a:prstGeom>
        <a:solidFill>
          <a:schemeClr val="bg2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252298</xdr:colOff>
      <xdr:row>7</xdr:row>
      <xdr:rowOff>10250</xdr:rowOff>
    </xdr:from>
    <xdr:to>
      <xdr:col>10</xdr:col>
      <xdr:colOff>43289</xdr:colOff>
      <xdr:row>14</xdr:row>
      <xdr:rowOff>21871</xdr:rowOff>
    </xdr:to>
    <xdr:grpSp>
      <xdr:nvGrpSpPr>
        <xdr:cNvPr id="7" name="Group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480875-7316-49AC-A5C4-38EC20EC1B2F}"/>
            </a:ext>
          </a:extLst>
        </xdr:cNvPr>
        <xdr:cNvGrpSpPr/>
      </xdr:nvGrpSpPr>
      <xdr:grpSpPr>
        <a:xfrm>
          <a:off x="7237298" y="1955890"/>
          <a:ext cx="1365791" cy="1408621"/>
          <a:chOff x="9285942" y="2510117"/>
          <a:chExt cx="1377577" cy="1494118"/>
        </a:xfrm>
      </xdr:grpSpPr>
      <xdr:pic>
        <xdr:nvPicPr>
          <xdr:cNvPr id="5" name="Graphic 4" descr="Bar chart with solid fill">
            <a:extLst>
              <a:ext uri="{FF2B5EF4-FFF2-40B4-BE49-F238E27FC236}">
                <a16:creationId xmlns:a16="http://schemas.microsoft.com/office/drawing/2014/main" id="{3A7B637C-9A42-431A-A92C-B9DE872FC9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9285942" y="2510117"/>
            <a:ext cx="1377577" cy="1377577"/>
          </a:xfrm>
          <a:prstGeom prst="rect">
            <a:avLst/>
          </a:prstGeom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1AD2F8C7-4F91-4E3A-88EE-D2C19F32A6CA}"/>
              </a:ext>
            </a:extLst>
          </xdr:cNvPr>
          <xdr:cNvSpPr txBox="1"/>
        </xdr:nvSpPr>
        <xdr:spPr>
          <a:xfrm>
            <a:off x="9323293" y="3668059"/>
            <a:ext cx="1284941" cy="3361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400" b="1">
                <a:solidFill>
                  <a:schemeClr val="accent3"/>
                </a:solidFill>
              </a:rPr>
              <a:t>DASHBOARD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266377</xdr:colOff>
      <xdr:row>1</xdr:row>
      <xdr:rowOff>204004</xdr:rowOff>
    </xdr:from>
    <xdr:to>
      <xdr:col>11</xdr:col>
      <xdr:colOff>400728</xdr:colOff>
      <xdr:row>5</xdr:row>
      <xdr:rowOff>18496</xdr:rowOff>
    </xdr:to>
    <xdr:sp macro="" textlink="FORMULA!L10">
      <xdr:nvSpPr>
        <xdr:cNvPr id="32" name="Rectangle: Rounded Corners 31">
          <a:extLst>
            <a:ext uri="{FF2B5EF4-FFF2-40B4-BE49-F238E27FC236}">
              <a16:creationId xmlns:a16="http://schemas.microsoft.com/office/drawing/2014/main" id="{3A6AE9CC-9CEE-4414-9350-E22D8E853C5B}"/>
            </a:ext>
          </a:extLst>
        </xdr:cNvPr>
        <xdr:cNvSpPr/>
      </xdr:nvSpPr>
      <xdr:spPr>
        <a:xfrm>
          <a:off x="6369775" y="709538"/>
          <a:ext cx="744691" cy="677599"/>
        </a:xfrm>
        <a:prstGeom prst="roundRect">
          <a:avLst>
            <a:gd name="adj" fmla="val 13442"/>
          </a:avLst>
        </a:prstGeom>
        <a:solidFill>
          <a:srgbClr val="00B0F0"/>
        </a:solidFill>
        <a:ln w="28575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DA214EB-2551-4F06-9BDC-2A2B34913903}" type="TxLink">
            <a:rPr lang="en-US" sz="4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ID" sz="4400"/>
        </a:p>
      </xdr:txBody>
    </xdr:sp>
    <xdr:clientData/>
  </xdr:twoCellAnchor>
  <xdr:twoCellAnchor>
    <xdr:from>
      <xdr:col>10</xdr:col>
      <xdr:colOff>272541</xdr:colOff>
      <xdr:row>13</xdr:row>
      <xdr:rowOff>105363</xdr:rowOff>
    </xdr:from>
    <xdr:to>
      <xdr:col>11</xdr:col>
      <xdr:colOff>406892</xdr:colOff>
      <xdr:row>16</xdr:row>
      <xdr:rowOff>191117</xdr:rowOff>
    </xdr:to>
    <xdr:sp macro="" textlink="FORMULA!$L$18">
      <xdr:nvSpPr>
        <xdr:cNvPr id="71" name="Rectangle: Rounded Corners 70">
          <a:extLst>
            <a:ext uri="{FF2B5EF4-FFF2-40B4-BE49-F238E27FC236}">
              <a16:creationId xmlns:a16="http://schemas.microsoft.com/office/drawing/2014/main" id="{42E61DDD-4457-43C4-BC55-E29A80039BCF}"/>
            </a:ext>
          </a:extLst>
        </xdr:cNvPr>
        <xdr:cNvSpPr/>
      </xdr:nvSpPr>
      <xdr:spPr>
        <a:xfrm>
          <a:off x="6375939" y="3052256"/>
          <a:ext cx="744691" cy="677599"/>
        </a:xfrm>
        <a:prstGeom prst="roundRect">
          <a:avLst>
            <a:gd name="adj" fmla="val 13442"/>
          </a:avLst>
        </a:prstGeom>
        <a:solidFill>
          <a:srgbClr val="00B050"/>
        </a:solidFill>
        <a:ln w="28575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BADC6A4-9986-4C0A-A321-446889A8D926}" type="TxLink">
            <a:rPr lang="en-US" sz="4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ID" sz="4400"/>
        </a:p>
      </xdr:txBody>
    </xdr:sp>
    <xdr:clientData/>
  </xdr:twoCellAnchor>
  <xdr:twoCellAnchor editAs="absolute">
    <xdr:from>
      <xdr:col>0</xdr:col>
      <xdr:colOff>254000</xdr:colOff>
      <xdr:row>1</xdr:row>
      <xdr:rowOff>76200</xdr:rowOff>
    </xdr:from>
    <xdr:to>
      <xdr:col>19</xdr:col>
      <xdr:colOff>209550</xdr:colOff>
      <xdr:row>24</xdr:row>
      <xdr:rowOff>139700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4AF8D13-B9E2-4D14-9059-B4D8E070ACEE}"/>
            </a:ext>
          </a:extLst>
        </xdr:cNvPr>
        <xdr:cNvSpPr/>
      </xdr:nvSpPr>
      <xdr:spPr>
        <a:xfrm>
          <a:off x="254000" y="584200"/>
          <a:ext cx="11537950" cy="4667250"/>
        </a:xfrm>
        <a:prstGeom prst="roundRect">
          <a:avLst>
            <a:gd name="adj" fmla="val 3230"/>
          </a:avLst>
        </a:prstGeom>
        <a:noFill/>
        <a:ln w="762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548217</xdr:colOff>
      <xdr:row>0</xdr:row>
      <xdr:rowOff>98778</xdr:rowOff>
    </xdr:from>
    <xdr:to>
      <xdr:col>14</xdr:col>
      <xdr:colOff>224366</xdr:colOff>
      <xdr:row>0</xdr:row>
      <xdr:rowOff>428978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7F534EC-16B6-48E0-B7EB-D09AD347010F}"/>
            </a:ext>
          </a:extLst>
        </xdr:cNvPr>
        <xdr:cNvGrpSpPr/>
      </xdr:nvGrpSpPr>
      <xdr:grpSpPr>
        <a:xfrm>
          <a:off x="4205817" y="98778"/>
          <a:ext cx="4552949" cy="330200"/>
          <a:chOff x="3701562" y="50800"/>
          <a:chExt cx="4559788" cy="330200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F41AD818-03EF-43D9-885E-64661DC4A5C8}"/>
              </a:ext>
            </a:extLst>
          </xdr:cNvPr>
          <xdr:cNvSpPr/>
        </xdr:nvSpPr>
        <xdr:spPr>
          <a:xfrm>
            <a:off x="3701562" y="50800"/>
            <a:ext cx="4559788" cy="330200"/>
          </a:xfrm>
          <a:prstGeom prst="roundRect">
            <a:avLst>
              <a:gd name="adj" fmla="val 50000"/>
            </a:avLst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77400BD-11D8-490D-BB26-79DCBEDE8905}"/>
              </a:ext>
            </a:extLst>
          </xdr:cNvPr>
          <xdr:cNvSpPr/>
        </xdr:nvSpPr>
        <xdr:spPr>
          <a:xfrm>
            <a:off x="3737220" y="78154"/>
            <a:ext cx="1545912" cy="273538"/>
          </a:xfrm>
          <a:prstGeom prst="roundRect">
            <a:avLst>
              <a:gd name="adj" fmla="val 50000"/>
            </a:avLst>
          </a:prstGeom>
          <a:solidFill>
            <a:schemeClr val="accent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200" b="1"/>
              <a:t>INSIGHT</a:t>
            </a:r>
            <a:endParaRPr lang="en-ID" sz="1100" b="1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090D3E16-C8FF-43B4-89B4-A497D45DB005}"/>
              </a:ext>
            </a:extLst>
          </xdr:cNvPr>
          <xdr:cNvSpPr/>
        </xdr:nvSpPr>
        <xdr:spPr>
          <a:xfrm>
            <a:off x="5378450" y="78155"/>
            <a:ext cx="1337896" cy="273538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200">
                <a:solidFill>
                  <a:schemeClr val="tx1">
                    <a:lumMod val="50000"/>
                    <a:lumOff val="50000"/>
                  </a:schemeClr>
                </a:solidFill>
              </a:rPr>
              <a:t>IDEA</a:t>
            </a:r>
            <a:endParaRPr lang="en-ID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E4A1615C-791F-4194-982C-CFCF088DABCC}"/>
              </a:ext>
            </a:extLst>
          </xdr:cNvPr>
          <xdr:cNvSpPr/>
        </xdr:nvSpPr>
        <xdr:spPr>
          <a:xfrm>
            <a:off x="6745654" y="78154"/>
            <a:ext cx="1450730" cy="273538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200">
                <a:solidFill>
                  <a:schemeClr val="tx1">
                    <a:lumMod val="50000"/>
                    <a:lumOff val="50000"/>
                  </a:schemeClr>
                </a:solidFill>
              </a:rPr>
              <a:t>IMPLEMENTATION</a:t>
            </a:r>
            <a:endParaRPr lang="en-ID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406401</xdr:colOff>
      <xdr:row>3</xdr:row>
      <xdr:rowOff>63500</xdr:rowOff>
    </xdr:from>
    <xdr:to>
      <xdr:col>5</xdr:col>
      <xdr:colOff>160291</xdr:colOff>
      <xdr:row>12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823BE0A-38F0-470C-B046-65EC5EE3E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425450</xdr:colOff>
      <xdr:row>14</xdr:row>
      <xdr:rowOff>171450</xdr:rowOff>
    </xdr:from>
    <xdr:to>
      <xdr:col>5</xdr:col>
      <xdr:colOff>154126</xdr:colOff>
      <xdr:row>24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E68146-40AF-4CA6-BC33-7AA26C823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585679</xdr:colOff>
      <xdr:row>7</xdr:row>
      <xdr:rowOff>0</xdr:rowOff>
    </xdr:from>
    <xdr:to>
      <xdr:col>19</xdr:col>
      <xdr:colOff>6350</xdr:colOff>
      <xdr:row>13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B280E16-17DB-4FC8-952C-EECD1D6B9F27}"/>
            </a:ext>
          </a:extLst>
        </xdr:cNvPr>
        <xdr:cNvSpPr/>
      </xdr:nvSpPr>
      <xdr:spPr>
        <a:xfrm>
          <a:off x="7909757" y="1763204"/>
          <a:ext cx="3693049" cy="1183689"/>
        </a:xfrm>
        <a:custGeom>
          <a:avLst/>
          <a:gdLst>
            <a:gd name="connsiteX0" fmla="*/ 0 w 3693049"/>
            <a:gd name="connsiteY0" fmla="*/ 0 h 1183689"/>
            <a:gd name="connsiteX1" fmla="*/ 652439 w 3693049"/>
            <a:gd name="connsiteY1" fmla="*/ 0 h 1183689"/>
            <a:gd name="connsiteX2" fmla="*/ 1157155 w 3693049"/>
            <a:gd name="connsiteY2" fmla="*/ 0 h 1183689"/>
            <a:gd name="connsiteX3" fmla="*/ 1846525 w 3693049"/>
            <a:gd name="connsiteY3" fmla="*/ 0 h 1183689"/>
            <a:gd name="connsiteX4" fmla="*/ 2462033 w 3693049"/>
            <a:gd name="connsiteY4" fmla="*/ 0 h 1183689"/>
            <a:gd name="connsiteX5" fmla="*/ 2966749 w 3693049"/>
            <a:gd name="connsiteY5" fmla="*/ 0 h 1183689"/>
            <a:gd name="connsiteX6" fmla="*/ 3693049 w 3693049"/>
            <a:gd name="connsiteY6" fmla="*/ 0 h 1183689"/>
            <a:gd name="connsiteX7" fmla="*/ 3693049 w 3693049"/>
            <a:gd name="connsiteY7" fmla="*/ 568171 h 1183689"/>
            <a:gd name="connsiteX8" fmla="*/ 3693049 w 3693049"/>
            <a:gd name="connsiteY8" fmla="*/ 1183689 h 1183689"/>
            <a:gd name="connsiteX9" fmla="*/ 3114471 w 3693049"/>
            <a:gd name="connsiteY9" fmla="*/ 1183689 h 1183689"/>
            <a:gd name="connsiteX10" fmla="*/ 2609755 w 3693049"/>
            <a:gd name="connsiteY10" fmla="*/ 1183689 h 1183689"/>
            <a:gd name="connsiteX11" fmla="*/ 1994246 w 3693049"/>
            <a:gd name="connsiteY11" fmla="*/ 1183689 h 1183689"/>
            <a:gd name="connsiteX12" fmla="*/ 1452599 w 3693049"/>
            <a:gd name="connsiteY12" fmla="*/ 1183689 h 1183689"/>
            <a:gd name="connsiteX13" fmla="*/ 947883 w 3693049"/>
            <a:gd name="connsiteY13" fmla="*/ 1183689 h 1183689"/>
            <a:gd name="connsiteX14" fmla="*/ 0 w 3693049"/>
            <a:gd name="connsiteY14" fmla="*/ 1183689 h 1183689"/>
            <a:gd name="connsiteX15" fmla="*/ 0 w 3693049"/>
            <a:gd name="connsiteY15" fmla="*/ 603681 h 1183689"/>
            <a:gd name="connsiteX16" fmla="*/ 0 w 3693049"/>
            <a:gd name="connsiteY16" fmla="*/ 0 h 118368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3693049" h="1183689" extrusionOk="0">
              <a:moveTo>
                <a:pt x="0" y="0"/>
              </a:moveTo>
              <a:cubicBezTo>
                <a:pt x="315910" y="9943"/>
                <a:pt x="410882" y="5558"/>
                <a:pt x="652439" y="0"/>
              </a:cubicBezTo>
              <a:cubicBezTo>
                <a:pt x="893996" y="-5558"/>
                <a:pt x="940097" y="4521"/>
                <a:pt x="1157155" y="0"/>
              </a:cubicBezTo>
              <a:cubicBezTo>
                <a:pt x="1374213" y="-4521"/>
                <a:pt x="1633164" y="-5726"/>
                <a:pt x="1846525" y="0"/>
              </a:cubicBezTo>
              <a:cubicBezTo>
                <a:pt x="2059886" y="5726"/>
                <a:pt x="2321844" y="2714"/>
                <a:pt x="2462033" y="0"/>
              </a:cubicBezTo>
              <a:cubicBezTo>
                <a:pt x="2602222" y="-2714"/>
                <a:pt x="2774285" y="-15569"/>
                <a:pt x="2966749" y="0"/>
              </a:cubicBezTo>
              <a:cubicBezTo>
                <a:pt x="3159213" y="15569"/>
                <a:pt x="3499401" y="35593"/>
                <a:pt x="3693049" y="0"/>
              </a:cubicBezTo>
              <a:cubicBezTo>
                <a:pt x="3695109" y="229262"/>
                <a:pt x="3696593" y="436165"/>
                <a:pt x="3693049" y="568171"/>
              </a:cubicBezTo>
              <a:cubicBezTo>
                <a:pt x="3689505" y="700177"/>
                <a:pt x="3678158" y="1043481"/>
                <a:pt x="3693049" y="1183689"/>
              </a:cubicBezTo>
              <a:cubicBezTo>
                <a:pt x="3428723" y="1183392"/>
                <a:pt x="3400249" y="1163660"/>
                <a:pt x="3114471" y="1183689"/>
              </a:cubicBezTo>
              <a:cubicBezTo>
                <a:pt x="2828693" y="1203718"/>
                <a:pt x="2828238" y="1166014"/>
                <a:pt x="2609755" y="1183689"/>
              </a:cubicBezTo>
              <a:cubicBezTo>
                <a:pt x="2391272" y="1201364"/>
                <a:pt x="2300109" y="1201658"/>
                <a:pt x="1994246" y="1183689"/>
              </a:cubicBezTo>
              <a:cubicBezTo>
                <a:pt x="1688383" y="1165720"/>
                <a:pt x="1641610" y="1179174"/>
                <a:pt x="1452599" y="1183689"/>
              </a:cubicBezTo>
              <a:cubicBezTo>
                <a:pt x="1263588" y="1188204"/>
                <a:pt x="1176248" y="1198534"/>
                <a:pt x="947883" y="1183689"/>
              </a:cubicBezTo>
              <a:cubicBezTo>
                <a:pt x="719518" y="1168844"/>
                <a:pt x="348302" y="1167872"/>
                <a:pt x="0" y="1183689"/>
              </a:cubicBezTo>
              <a:cubicBezTo>
                <a:pt x="13727" y="894509"/>
                <a:pt x="5740" y="773612"/>
                <a:pt x="0" y="603681"/>
              </a:cubicBezTo>
              <a:cubicBezTo>
                <a:pt x="-5740" y="433750"/>
                <a:pt x="21257" y="129522"/>
                <a:pt x="0" y="0"/>
              </a:cubicBezTo>
              <a:close/>
            </a:path>
          </a:pathLst>
        </a:custGeom>
        <a:noFill/>
        <a:ln w="57150">
          <a:extLst>
            <a:ext uri="{C807C97D-BFC1-408E-A445-0C87EB9F89A2}">
              <ask:lineSketchStyleProps xmlns:ask="http://schemas.microsoft.com/office/drawing/2018/sketchyshapes" sd="1349542990">
                <a:prstGeom prst="rect">
                  <a:avLst/>
                </a:prstGeom>
                <ask:type>
                  <ask:lineSketchFreehand/>
                </ask:type>
              </ask:lineSketchStyleProps>
            </a:ext>
          </a:extLst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0</xdr:colOff>
      <xdr:row>16</xdr:row>
      <xdr:rowOff>1</xdr:rowOff>
    </xdr:from>
    <xdr:to>
      <xdr:col>18</xdr:col>
      <xdr:colOff>603250</xdr:colOff>
      <xdr:row>21</xdr:row>
      <xdr:rowOff>190500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211800E-4CC4-4163-97BA-7E55F91BE22F}"/>
            </a:ext>
          </a:extLst>
        </xdr:cNvPr>
        <xdr:cNvSpPr/>
      </xdr:nvSpPr>
      <xdr:spPr>
        <a:xfrm>
          <a:off x="7924800" y="3536951"/>
          <a:ext cx="3651250" cy="1174749"/>
        </a:xfrm>
        <a:custGeom>
          <a:avLst/>
          <a:gdLst>
            <a:gd name="connsiteX0" fmla="*/ 0 w 3651250"/>
            <a:gd name="connsiteY0" fmla="*/ 0 h 1174749"/>
            <a:gd name="connsiteX1" fmla="*/ 645054 w 3651250"/>
            <a:gd name="connsiteY1" fmla="*/ 0 h 1174749"/>
            <a:gd name="connsiteX2" fmla="*/ 1144058 w 3651250"/>
            <a:gd name="connsiteY2" fmla="*/ 0 h 1174749"/>
            <a:gd name="connsiteX3" fmla="*/ 1825625 w 3651250"/>
            <a:gd name="connsiteY3" fmla="*/ 0 h 1174749"/>
            <a:gd name="connsiteX4" fmla="*/ 2434167 w 3651250"/>
            <a:gd name="connsiteY4" fmla="*/ 0 h 1174749"/>
            <a:gd name="connsiteX5" fmla="*/ 2933171 w 3651250"/>
            <a:gd name="connsiteY5" fmla="*/ 0 h 1174749"/>
            <a:gd name="connsiteX6" fmla="*/ 3651250 w 3651250"/>
            <a:gd name="connsiteY6" fmla="*/ 0 h 1174749"/>
            <a:gd name="connsiteX7" fmla="*/ 3651250 w 3651250"/>
            <a:gd name="connsiteY7" fmla="*/ 563880 h 1174749"/>
            <a:gd name="connsiteX8" fmla="*/ 3651250 w 3651250"/>
            <a:gd name="connsiteY8" fmla="*/ 1174749 h 1174749"/>
            <a:gd name="connsiteX9" fmla="*/ 3079221 w 3651250"/>
            <a:gd name="connsiteY9" fmla="*/ 1174749 h 1174749"/>
            <a:gd name="connsiteX10" fmla="*/ 2580217 w 3651250"/>
            <a:gd name="connsiteY10" fmla="*/ 1174749 h 1174749"/>
            <a:gd name="connsiteX11" fmla="*/ 1971675 w 3651250"/>
            <a:gd name="connsiteY11" fmla="*/ 1174749 h 1174749"/>
            <a:gd name="connsiteX12" fmla="*/ 1436158 w 3651250"/>
            <a:gd name="connsiteY12" fmla="*/ 1174749 h 1174749"/>
            <a:gd name="connsiteX13" fmla="*/ 937154 w 3651250"/>
            <a:gd name="connsiteY13" fmla="*/ 1174749 h 1174749"/>
            <a:gd name="connsiteX14" fmla="*/ 0 w 3651250"/>
            <a:gd name="connsiteY14" fmla="*/ 1174749 h 1174749"/>
            <a:gd name="connsiteX15" fmla="*/ 0 w 3651250"/>
            <a:gd name="connsiteY15" fmla="*/ 599122 h 1174749"/>
            <a:gd name="connsiteX16" fmla="*/ 0 w 3651250"/>
            <a:gd name="connsiteY16" fmla="*/ 0 h 11747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3651250" h="1174749" extrusionOk="0">
              <a:moveTo>
                <a:pt x="0" y="0"/>
              </a:moveTo>
              <a:cubicBezTo>
                <a:pt x="209530" y="26"/>
                <a:pt x="374042" y="-11659"/>
                <a:pt x="645054" y="0"/>
              </a:cubicBezTo>
              <a:cubicBezTo>
                <a:pt x="916066" y="11659"/>
                <a:pt x="937420" y="-7961"/>
                <a:pt x="1144058" y="0"/>
              </a:cubicBezTo>
              <a:cubicBezTo>
                <a:pt x="1350696" y="7961"/>
                <a:pt x="1502276" y="28663"/>
                <a:pt x="1825625" y="0"/>
              </a:cubicBezTo>
              <a:cubicBezTo>
                <a:pt x="2148974" y="-28663"/>
                <a:pt x="2195257" y="460"/>
                <a:pt x="2434167" y="0"/>
              </a:cubicBezTo>
              <a:cubicBezTo>
                <a:pt x="2673077" y="-460"/>
                <a:pt x="2814782" y="2176"/>
                <a:pt x="2933171" y="0"/>
              </a:cubicBezTo>
              <a:cubicBezTo>
                <a:pt x="3051560" y="-2176"/>
                <a:pt x="3461010" y="28344"/>
                <a:pt x="3651250" y="0"/>
              </a:cubicBezTo>
              <a:cubicBezTo>
                <a:pt x="3642983" y="242451"/>
                <a:pt x="3630396" y="334599"/>
                <a:pt x="3651250" y="563880"/>
              </a:cubicBezTo>
              <a:cubicBezTo>
                <a:pt x="3672104" y="793161"/>
                <a:pt x="3667565" y="888857"/>
                <a:pt x="3651250" y="1174749"/>
              </a:cubicBezTo>
              <a:cubicBezTo>
                <a:pt x="3377530" y="1152717"/>
                <a:pt x="3281342" y="1162809"/>
                <a:pt x="3079221" y="1174749"/>
              </a:cubicBezTo>
              <a:cubicBezTo>
                <a:pt x="2877100" y="1186689"/>
                <a:pt x="2808683" y="1181450"/>
                <a:pt x="2580217" y="1174749"/>
              </a:cubicBezTo>
              <a:cubicBezTo>
                <a:pt x="2351751" y="1168048"/>
                <a:pt x="2213020" y="1171943"/>
                <a:pt x="1971675" y="1174749"/>
              </a:cubicBezTo>
              <a:cubicBezTo>
                <a:pt x="1730330" y="1177555"/>
                <a:pt x="1631104" y="1178035"/>
                <a:pt x="1436158" y="1174749"/>
              </a:cubicBezTo>
              <a:cubicBezTo>
                <a:pt x="1241212" y="1171463"/>
                <a:pt x="1154532" y="1179298"/>
                <a:pt x="937154" y="1174749"/>
              </a:cubicBezTo>
              <a:cubicBezTo>
                <a:pt x="719776" y="1170200"/>
                <a:pt x="436776" y="1163908"/>
                <a:pt x="0" y="1174749"/>
              </a:cubicBezTo>
              <a:cubicBezTo>
                <a:pt x="-23997" y="893528"/>
                <a:pt x="-6739" y="781503"/>
                <a:pt x="0" y="599122"/>
              </a:cubicBezTo>
              <a:cubicBezTo>
                <a:pt x="6739" y="416741"/>
                <a:pt x="-27169" y="235030"/>
                <a:pt x="0" y="0"/>
              </a:cubicBezTo>
              <a:close/>
            </a:path>
          </a:pathLst>
        </a:custGeom>
        <a:noFill/>
        <a:ln w="57150">
          <a:extLst>
            <a:ext uri="{C807C97D-BFC1-408E-A445-0C87EB9F89A2}">
              <ask:lineSketchStyleProps xmlns:ask="http://schemas.microsoft.com/office/drawing/2018/sketchyshapes" sd="1349542990">
                <a:prstGeom prst="rect">
                  <a:avLst/>
                </a:prstGeom>
                <ask:type>
                  <ask:lineSketchFreehand/>
                </ask:type>
              </ask:lineSketchStyleProps>
            </a:ext>
          </a:extLst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594744</xdr:colOff>
      <xdr:row>2</xdr:row>
      <xdr:rowOff>66459</xdr:rowOff>
    </xdr:from>
    <xdr:to>
      <xdr:col>5</xdr:col>
      <xdr:colOff>92354</xdr:colOff>
      <xdr:row>3</xdr:row>
      <xdr:rowOff>123609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887A9A5D-FFD7-4B41-AC54-09D8B3C19B38}"/>
            </a:ext>
          </a:extLst>
        </xdr:cNvPr>
        <xdr:cNvSpPr/>
      </xdr:nvSpPr>
      <xdr:spPr>
        <a:xfrm>
          <a:off x="594744" y="806265"/>
          <a:ext cx="2549309" cy="291422"/>
        </a:xfrm>
        <a:prstGeom prst="roundRect">
          <a:avLst>
            <a:gd name="adj" fmla="val 13442"/>
          </a:avLst>
        </a:prstGeom>
        <a:solidFill>
          <a:srgbClr val="00B0F0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bg1"/>
              </a:solidFill>
            </a:rPr>
            <a:t>KERAPIAN</a:t>
          </a:r>
          <a:r>
            <a:rPr lang="en-ID" sz="1200" b="1" baseline="0">
              <a:solidFill>
                <a:schemeClr val="bg1"/>
              </a:solidFill>
            </a:rPr>
            <a:t> SEPATU</a:t>
          </a:r>
          <a:endParaRPr lang="en-ID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569158</xdr:colOff>
      <xdr:row>13</xdr:row>
      <xdr:rowOff>123671</xdr:rowOff>
    </xdr:from>
    <xdr:to>
      <xdr:col>5</xdr:col>
      <xdr:colOff>66768</xdr:colOff>
      <xdr:row>15</xdr:row>
      <xdr:rowOff>21640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F53EBE10-554F-40A5-B8D7-B57725F893B3}"/>
            </a:ext>
          </a:extLst>
        </xdr:cNvPr>
        <xdr:cNvSpPr/>
      </xdr:nvSpPr>
      <xdr:spPr>
        <a:xfrm>
          <a:off x="569158" y="3070564"/>
          <a:ext cx="2549309" cy="292532"/>
        </a:xfrm>
        <a:prstGeom prst="roundRect">
          <a:avLst>
            <a:gd name="adj" fmla="val 13442"/>
          </a:avLst>
        </a:prstGeom>
        <a:solidFill>
          <a:srgbClr val="00B050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bg1"/>
              </a:solidFill>
            </a:rPr>
            <a:t>KERAPIAN</a:t>
          </a:r>
          <a:r>
            <a:rPr lang="en-ID" sz="1200" b="1" baseline="0">
              <a:solidFill>
                <a:schemeClr val="bg1"/>
              </a:solidFill>
            </a:rPr>
            <a:t> SANDAL</a:t>
          </a:r>
          <a:endParaRPr lang="en-ID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501650</xdr:colOff>
      <xdr:row>5</xdr:row>
      <xdr:rowOff>25400</xdr:rowOff>
    </xdr:from>
    <xdr:to>
      <xdr:col>18</xdr:col>
      <xdr:colOff>0</xdr:colOff>
      <xdr:row>6</xdr:row>
      <xdr:rowOff>120650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2BFC913D-3AAB-4AC6-80BF-16356AE9E484}"/>
            </a:ext>
          </a:extLst>
        </xdr:cNvPr>
        <xdr:cNvSpPr/>
      </xdr:nvSpPr>
      <xdr:spPr>
        <a:xfrm>
          <a:off x="8426450" y="1397000"/>
          <a:ext cx="2546350" cy="292100"/>
        </a:xfrm>
        <a:prstGeom prst="roundRect">
          <a:avLst>
            <a:gd name="adj" fmla="val 13442"/>
          </a:avLst>
        </a:prstGeom>
        <a:solidFill>
          <a:schemeClr val="accent2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bg1"/>
              </a:solidFill>
            </a:rPr>
            <a:t>APA TEMUANMU?</a:t>
          </a:r>
        </a:p>
      </xdr:txBody>
    </xdr:sp>
    <xdr:clientData/>
  </xdr:twoCellAnchor>
  <xdr:twoCellAnchor>
    <xdr:from>
      <xdr:col>13</xdr:col>
      <xdr:colOff>558800</xdr:colOff>
      <xdr:row>14</xdr:row>
      <xdr:rowOff>44450</xdr:rowOff>
    </xdr:from>
    <xdr:to>
      <xdr:col>18</xdr:col>
      <xdr:colOff>57150</xdr:colOff>
      <xdr:row>15</xdr:row>
      <xdr:rowOff>139700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6E1536B5-A1AB-4773-A03F-E25DC93D2183}"/>
            </a:ext>
          </a:extLst>
        </xdr:cNvPr>
        <xdr:cNvSpPr/>
      </xdr:nvSpPr>
      <xdr:spPr>
        <a:xfrm>
          <a:off x="8483600" y="3187700"/>
          <a:ext cx="2546350" cy="292100"/>
        </a:xfrm>
        <a:prstGeom prst="roundRect">
          <a:avLst>
            <a:gd name="adj" fmla="val 13442"/>
          </a:avLst>
        </a:prstGeom>
        <a:solidFill>
          <a:schemeClr val="accent2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bg1"/>
              </a:solidFill>
            </a:rPr>
            <a:t>APA SARANMU?</a:t>
          </a:r>
        </a:p>
      </xdr:txBody>
    </xdr:sp>
    <xdr:clientData/>
  </xdr:twoCellAnchor>
  <xdr:twoCellAnchor>
    <xdr:from>
      <xdr:col>13</xdr:col>
      <xdr:colOff>152400</xdr:colOff>
      <xdr:row>1</xdr:row>
      <xdr:rowOff>158750</xdr:rowOff>
    </xdr:from>
    <xdr:to>
      <xdr:col>18</xdr:col>
      <xdr:colOff>463550</xdr:colOff>
      <xdr:row>4</xdr:row>
      <xdr:rowOff>127000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EC96243-4C85-43E4-A28D-90182C510F4F}"/>
            </a:ext>
          </a:extLst>
        </xdr:cNvPr>
        <xdr:cNvGrpSpPr/>
      </xdr:nvGrpSpPr>
      <xdr:grpSpPr>
        <a:xfrm>
          <a:off x="8077200" y="666750"/>
          <a:ext cx="3359150" cy="635000"/>
          <a:chOff x="8077200" y="666750"/>
          <a:chExt cx="3359150" cy="635000"/>
        </a:xfrm>
      </xdr:grpSpPr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BB49D51A-0F65-4E66-ABDE-6649D7DFA8FA}"/>
              </a:ext>
            </a:extLst>
          </xdr:cNvPr>
          <xdr:cNvSpPr/>
        </xdr:nvSpPr>
        <xdr:spPr>
          <a:xfrm>
            <a:off x="8077200" y="685800"/>
            <a:ext cx="3359150" cy="615950"/>
          </a:xfrm>
          <a:prstGeom prst="roundRect">
            <a:avLst>
              <a:gd name="adj" fmla="val 13442"/>
            </a:avLst>
          </a:prstGeom>
          <a:solidFill>
            <a:schemeClr val="bg1"/>
          </a:solidFill>
          <a:ln w="28575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ID" sz="1800" b="1">
                <a:solidFill>
                  <a:schemeClr val="accent2">
                    <a:lumMod val="75000"/>
                  </a:schemeClr>
                </a:solidFill>
              </a:rPr>
              <a:t>STATUS KESELURUHAN</a:t>
            </a:r>
          </a:p>
        </xdr:txBody>
      </xdr:sp>
      <xdr:sp macro="" textlink="FORMULA!M10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5626B661-FC23-43F6-82A5-815ACB90C0F0}"/>
              </a:ext>
            </a:extLst>
          </xdr:cNvPr>
          <xdr:cNvSpPr/>
        </xdr:nvSpPr>
        <xdr:spPr>
          <a:xfrm>
            <a:off x="10604500" y="666750"/>
            <a:ext cx="603250" cy="596900"/>
          </a:xfrm>
          <a:prstGeom prst="roundRect">
            <a:avLst>
              <a:gd name="adj" fmla="val 13442"/>
            </a:avLst>
          </a:prstGeom>
          <a:noFill/>
          <a:ln w="285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09DE30E-758E-4688-AF30-A720691E9B25}" type="TxLink">
              <a:rPr lang="en-US" sz="36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#VALUE!</a:t>
            </a:fld>
            <a:endParaRPr lang="en-ID" sz="16600" b="1">
              <a:solidFill>
                <a:schemeClr val="tx2"/>
              </a:solidFill>
            </a:endParaRPr>
          </a:p>
        </xdr:txBody>
      </xdr:sp>
    </xdr:grpSp>
    <xdr:clientData/>
  </xdr:twoCellAnchor>
  <xdr:twoCellAnchor>
    <xdr:from>
      <xdr:col>9</xdr:col>
      <xdr:colOff>145294</xdr:colOff>
      <xdr:row>16</xdr:row>
      <xdr:rowOff>40136</xdr:rowOff>
    </xdr:from>
    <xdr:to>
      <xdr:col>12</xdr:col>
      <xdr:colOff>522240</xdr:colOff>
      <xdr:row>23</xdr:row>
      <xdr:rowOff>160292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6226B9B2-EE85-4070-B100-35DF95C32095}"/>
            </a:ext>
          </a:extLst>
        </xdr:cNvPr>
        <xdr:cNvGrpSpPr/>
      </xdr:nvGrpSpPr>
      <xdr:grpSpPr>
        <a:xfrm>
          <a:off x="5631694" y="3577086"/>
          <a:ext cx="2205746" cy="1498106"/>
          <a:chOff x="5589031" y="3165815"/>
          <a:chExt cx="2207966" cy="1501127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44F536B2-C3AC-49D7-90A2-5219A325D749}"/>
              </a:ext>
            </a:extLst>
          </xdr:cNvPr>
          <xdr:cNvGrpSpPr/>
        </xdr:nvGrpSpPr>
        <xdr:grpSpPr>
          <a:xfrm>
            <a:off x="6755704" y="3177960"/>
            <a:ext cx="1041293" cy="687526"/>
            <a:chOff x="6755704" y="3177960"/>
            <a:chExt cx="1041293" cy="687526"/>
          </a:xfrm>
        </xdr:grpSpPr>
        <xdr:sp macro="" textlink="FORMULA!L15">
          <xdr:nvSpPr>
            <xdr:cNvPr id="62" name="Rectangle: Rounded Corners 61">
              <a:extLst>
                <a:ext uri="{FF2B5EF4-FFF2-40B4-BE49-F238E27FC236}">
                  <a16:creationId xmlns:a16="http://schemas.microsoft.com/office/drawing/2014/main" id="{96DE250A-6AC5-4104-86DC-FB57BC4F5E75}"/>
                </a:ext>
              </a:extLst>
            </xdr:cNvPr>
            <xdr:cNvSpPr/>
          </xdr:nvSpPr>
          <xdr:spPr>
            <a:xfrm>
              <a:off x="6755704" y="3373392"/>
              <a:ext cx="1041293" cy="492094"/>
            </a:xfrm>
            <a:prstGeom prst="roundRect">
              <a:avLst>
                <a:gd name="adj" fmla="val 13442"/>
              </a:avLst>
            </a:prstGeom>
            <a:solidFill>
              <a:schemeClr val="bg1"/>
            </a:solidFill>
            <a:ln w="2857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10C9A07B-8A25-4143-ACCD-CD031FA3F219}" type="TxLink">
                <a:rPr lang="en-US" sz="2800" b="1" i="0" u="none" strike="noStrike">
                  <a:solidFill>
                    <a:srgbClr val="00B050"/>
                  </a:solidFill>
                  <a:latin typeface="Calibri"/>
                  <a:ea typeface="Calibri"/>
                  <a:cs typeface="Calibri"/>
                </a:rPr>
                <a:pPr algn="r"/>
                <a:t>0</a:t>
              </a:fld>
              <a:endParaRPr lang="en-ID" sz="2800" b="1">
                <a:solidFill>
                  <a:srgbClr val="00B050"/>
                </a:solidFill>
              </a:endParaRPr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15209527-F505-4EC8-8ADF-63DB4670C1E5}"/>
                </a:ext>
              </a:extLst>
            </xdr:cNvPr>
            <xdr:cNvSpPr txBox="1"/>
          </xdr:nvSpPr>
          <xdr:spPr>
            <a:xfrm>
              <a:off x="6958243" y="3177960"/>
              <a:ext cx="654790" cy="273481"/>
            </a:xfrm>
            <a:prstGeom prst="roundRect">
              <a:avLst/>
            </a:prstGeom>
            <a:solidFill>
              <a:srgbClr val="00B050"/>
            </a:solidFill>
            <a:ln w="28575" cmpd="sng">
              <a:solidFill>
                <a:srgbClr val="00B05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 b="1">
                  <a:solidFill>
                    <a:schemeClr val="bg1"/>
                  </a:solidFill>
                </a:rPr>
                <a:t>MIN</a:t>
              </a:r>
            </a:p>
          </xdr:txBody>
        </xdr:sp>
        <xdr:pic>
          <xdr:nvPicPr>
            <xdr:cNvPr id="47" name="Graphic 46" descr="Bar graph with downward trend with solid fill">
              <a:extLst>
                <a:ext uri="{FF2B5EF4-FFF2-40B4-BE49-F238E27FC236}">
                  <a16:creationId xmlns:a16="http://schemas.microsoft.com/office/drawing/2014/main" id="{8F6CED46-84EB-442A-A385-2BD1A6740C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6757509" y="3454191"/>
              <a:ext cx="390892" cy="391914"/>
            </a:xfrm>
            <a:prstGeom prst="rect">
              <a:avLst/>
            </a:prstGeom>
          </xdr:spPr>
        </xdr:pic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331966E3-C3E4-4418-B8E6-2E9A5D71F6A6}"/>
              </a:ext>
            </a:extLst>
          </xdr:cNvPr>
          <xdr:cNvGrpSpPr/>
        </xdr:nvGrpSpPr>
        <xdr:grpSpPr>
          <a:xfrm>
            <a:off x="5593860" y="3165815"/>
            <a:ext cx="1042629" cy="712001"/>
            <a:chOff x="5371918" y="3171980"/>
            <a:chExt cx="1042629" cy="712001"/>
          </a:xfrm>
        </xdr:grpSpPr>
        <xdr:sp macro="" textlink="FORMULA!L14">
          <xdr:nvSpPr>
            <xdr:cNvPr id="61" name="Rectangle: Rounded Corners 60">
              <a:extLst>
                <a:ext uri="{FF2B5EF4-FFF2-40B4-BE49-F238E27FC236}">
                  <a16:creationId xmlns:a16="http://schemas.microsoft.com/office/drawing/2014/main" id="{A97E4995-3794-4171-AB85-2B4C342A16F7}"/>
                </a:ext>
              </a:extLst>
            </xdr:cNvPr>
            <xdr:cNvSpPr/>
          </xdr:nvSpPr>
          <xdr:spPr>
            <a:xfrm>
              <a:off x="5373254" y="3379556"/>
              <a:ext cx="1041293" cy="504425"/>
            </a:xfrm>
            <a:prstGeom prst="roundRect">
              <a:avLst>
                <a:gd name="adj" fmla="val 13442"/>
              </a:avLst>
            </a:prstGeom>
            <a:solidFill>
              <a:schemeClr val="bg1"/>
            </a:solidFill>
            <a:ln w="2857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8971B355-C2FE-483F-969D-CA9092807E60}" type="TxLink">
                <a:rPr lang="en-US" sz="2800" b="1" i="0" u="none" strike="noStrike">
                  <a:solidFill>
                    <a:srgbClr val="00B050"/>
                  </a:solidFill>
                  <a:latin typeface="Calibri"/>
                  <a:ea typeface="Calibri"/>
                  <a:cs typeface="Calibri"/>
                </a:rPr>
                <a:pPr algn="r"/>
                <a:t>0</a:t>
              </a:fld>
              <a:endParaRPr lang="en-ID" sz="2800" b="1">
                <a:solidFill>
                  <a:srgbClr val="00B050"/>
                </a:solidFill>
              </a:endParaRPr>
            </a:p>
          </xdr:txBody>
        </xdr: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BB74BB80-5FD8-4C69-A46A-932C65964A90}"/>
                </a:ext>
              </a:extLst>
            </xdr:cNvPr>
            <xdr:cNvSpPr txBox="1"/>
          </xdr:nvSpPr>
          <xdr:spPr>
            <a:xfrm>
              <a:off x="5563278" y="3171980"/>
              <a:ext cx="654790" cy="273481"/>
            </a:xfrm>
            <a:prstGeom prst="roundRect">
              <a:avLst/>
            </a:prstGeom>
            <a:solidFill>
              <a:srgbClr val="00B050"/>
            </a:solidFill>
            <a:ln w="28575" cmpd="sng">
              <a:solidFill>
                <a:srgbClr val="00B05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 b="1">
                  <a:solidFill>
                    <a:schemeClr val="bg1"/>
                  </a:solidFill>
                </a:rPr>
                <a:t>MAX</a:t>
              </a:r>
            </a:p>
          </xdr:txBody>
        </xdr:sp>
        <xdr:pic>
          <xdr:nvPicPr>
            <xdr:cNvPr id="48" name="Graphic 47" descr="Bar graph with upward trend with solid fill">
              <a:extLst>
                <a:ext uri="{FF2B5EF4-FFF2-40B4-BE49-F238E27FC236}">
                  <a16:creationId xmlns:a16="http://schemas.microsoft.com/office/drawing/2014/main" id="{3A6C0348-C42D-4FD7-AF6C-B827B24A49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5371918" y="3471804"/>
              <a:ext cx="386853" cy="386490"/>
            </a:xfrm>
            <a:prstGeom prst="rect">
              <a:avLst/>
            </a:prstGeom>
          </xdr:spPr>
        </xdr:pic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F525489A-3F4B-407D-A2E5-82064E741502}"/>
              </a:ext>
            </a:extLst>
          </xdr:cNvPr>
          <xdr:cNvGrpSpPr/>
        </xdr:nvGrpSpPr>
        <xdr:grpSpPr>
          <a:xfrm>
            <a:off x="6698762" y="3958147"/>
            <a:ext cx="1098235" cy="708795"/>
            <a:chOff x="6698762" y="3958147"/>
            <a:chExt cx="1098235" cy="708795"/>
          </a:xfrm>
        </xdr:grpSpPr>
        <xdr:sp macro="" textlink="FORMULA!L17">
          <xdr:nvSpPr>
            <xdr:cNvPr id="65" name="Rectangle: Rounded Corners 64">
              <a:extLst>
                <a:ext uri="{FF2B5EF4-FFF2-40B4-BE49-F238E27FC236}">
                  <a16:creationId xmlns:a16="http://schemas.microsoft.com/office/drawing/2014/main" id="{7B750BC3-B673-4A6B-9998-FED895CFDA17}"/>
                </a:ext>
              </a:extLst>
            </xdr:cNvPr>
            <xdr:cNvSpPr/>
          </xdr:nvSpPr>
          <xdr:spPr>
            <a:xfrm>
              <a:off x="6755704" y="4152777"/>
              <a:ext cx="1041293" cy="514165"/>
            </a:xfrm>
            <a:prstGeom prst="roundRect">
              <a:avLst>
                <a:gd name="adj" fmla="val 13442"/>
              </a:avLst>
            </a:prstGeom>
            <a:solidFill>
              <a:schemeClr val="bg1"/>
            </a:solidFill>
            <a:ln w="2857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D0C1D756-692E-41E7-B441-A8B61DCD0594}" type="TxLink">
                <a:rPr lang="en-US" sz="2800" b="1" i="0" u="none" strike="noStrike">
                  <a:solidFill>
                    <a:srgbClr val="00B050"/>
                  </a:solidFill>
                  <a:latin typeface="Calibri"/>
                  <a:ea typeface="Calibri"/>
                  <a:cs typeface="Calibri"/>
                </a:rPr>
                <a:pPr algn="r"/>
                <a:t>0</a:t>
              </a:fld>
              <a:endParaRPr lang="en-ID" sz="2800" b="1">
                <a:solidFill>
                  <a:srgbClr val="00B050"/>
                </a:solidFill>
              </a:endParaRP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8FE0CFD7-13D6-46E4-A3C5-4BE0926E3023}"/>
                </a:ext>
              </a:extLst>
            </xdr:cNvPr>
            <xdr:cNvSpPr txBox="1"/>
          </xdr:nvSpPr>
          <xdr:spPr>
            <a:xfrm>
              <a:off x="6977293" y="3958147"/>
              <a:ext cx="654790" cy="273481"/>
            </a:xfrm>
            <a:prstGeom prst="roundRect">
              <a:avLst/>
            </a:prstGeom>
            <a:solidFill>
              <a:srgbClr val="00B050"/>
            </a:solidFill>
            <a:ln w="28575" cmpd="sng">
              <a:solidFill>
                <a:srgbClr val="00B05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 b="1">
                  <a:solidFill>
                    <a:schemeClr val="bg1"/>
                  </a:solidFill>
                </a:rPr>
                <a:t>LOKASI</a:t>
              </a:r>
            </a:p>
          </xdr:txBody>
        </xdr:sp>
        <xdr:pic>
          <xdr:nvPicPr>
            <xdr:cNvPr id="53" name="Graphic 52" descr="Marker with solid fill">
              <a:extLst>
                <a:ext uri="{FF2B5EF4-FFF2-40B4-BE49-F238E27FC236}">
                  <a16:creationId xmlns:a16="http://schemas.microsoft.com/office/drawing/2014/main" id="{C52CE146-8B26-44F3-BD71-579650FF02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6698762" y="4216012"/>
              <a:ext cx="395871" cy="395496"/>
            </a:xfrm>
            <a:prstGeom prst="rect">
              <a:avLst/>
            </a:prstGeom>
          </xdr:spPr>
        </xdr:pic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368FE0B7-3DF1-487A-A4BF-4A8DC10C515B}"/>
              </a:ext>
            </a:extLst>
          </xdr:cNvPr>
          <xdr:cNvGrpSpPr/>
        </xdr:nvGrpSpPr>
        <xdr:grpSpPr>
          <a:xfrm>
            <a:off x="5589031" y="3964497"/>
            <a:ext cx="1041293" cy="683948"/>
            <a:chOff x="5373254" y="4069303"/>
            <a:chExt cx="1041293" cy="683948"/>
          </a:xfrm>
        </xdr:grpSpPr>
        <xdr:sp macro="" textlink="FORMULA!L16">
          <xdr:nvSpPr>
            <xdr:cNvPr id="64" name="Rectangle: Rounded Corners 63">
              <a:extLst>
                <a:ext uri="{FF2B5EF4-FFF2-40B4-BE49-F238E27FC236}">
                  <a16:creationId xmlns:a16="http://schemas.microsoft.com/office/drawing/2014/main" id="{83C6D4F0-8D9D-4BF9-AE91-2BB71F94D456}"/>
                </a:ext>
              </a:extLst>
            </xdr:cNvPr>
            <xdr:cNvSpPr/>
          </xdr:nvSpPr>
          <xdr:spPr>
            <a:xfrm>
              <a:off x="5373254" y="4257582"/>
              <a:ext cx="1041293" cy="495669"/>
            </a:xfrm>
            <a:prstGeom prst="roundRect">
              <a:avLst>
                <a:gd name="adj" fmla="val 13442"/>
              </a:avLst>
            </a:prstGeom>
            <a:solidFill>
              <a:schemeClr val="bg1"/>
            </a:solidFill>
            <a:ln w="28575">
              <a:solidFill>
                <a:srgbClr val="00B05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9474BB5A-859C-4A7E-B9C3-569B3E194916}" type="TxLink">
                <a:rPr lang="en-US" sz="2800" b="1" i="0" u="none" strike="noStrike">
                  <a:solidFill>
                    <a:srgbClr val="00B050"/>
                  </a:solidFill>
                  <a:latin typeface="Calibri"/>
                  <a:ea typeface="Calibri"/>
                  <a:cs typeface="Calibri"/>
                </a:rPr>
                <a:pPr algn="r"/>
                <a:t> </a:t>
              </a:fld>
              <a:endParaRPr lang="en-ID" sz="2800" b="1">
                <a:solidFill>
                  <a:srgbClr val="00B050"/>
                </a:solidFill>
              </a:endParaRPr>
            </a:p>
          </xdr:txBody>
        </xdr: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600B184-6953-4B53-9E20-9D30B2B09EA4}"/>
                </a:ext>
              </a:extLst>
            </xdr:cNvPr>
            <xdr:cNvSpPr txBox="1"/>
          </xdr:nvSpPr>
          <xdr:spPr>
            <a:xfrm>
              <a:off x="5581773" y="4069303"/>
              <a:ext cx="654790" cy="273481"/>
            </a:xfrm>
            <a:prstGeom prst="roundRect">
              <a:avLst/>
            </a:prstGeom>
            <a:solidFill>
              <a:srgbClr val="00B050"/>
            </a:solidFill>
            <a:ln w="28575" cmpd="sng">
              <a:solidFill>
                <a:srgbClr val="00B05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 b="1">
                  <a:solidFill>
                    <a:schemeClr val="bg1"/>
                  </a:solidFill>
                </a:rPr>
                <a:t>RATA2</a:t>
              </a:r>
            </a:p>
          </xdr:txBody>
        </xdr:sp>
        <xdr:pic>
          <xdr:nvPicPr>
            <xdr:cNvPr id="54" name="Graphic 53" descr="Mathematics with solid fill">
              <a:extLst>
                <a:ext uri="{FF2B5EF4-FFF2-40B4-BE49-F238E27FC236}">
                  <a16:creationId xmlns:a16="http://schemas.microsoft.com/office/drawing/2014/main" id="{AE3F7F03-F866-4C45-BEB4-2AD5962EC9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5386786" y="4369609"/>
              <a:ext cx="329446" cy="32907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5</xdr:col>
      <xdr:colOff>302086</xdr:colOff>
      <xdr:row>2</xdr:row>
      <xdr:rowOff>61651</xdr:rowOff>
    </xdr:from>
    <xdr:to>
      <xdr:col>9</xdr:col>
      <xdr:colOff>86311</xdr:colOff>
      <xdr:row>12</xdr:row>
      <xdr:rowOff>160291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DA67B87A-0062-4CDF-81A3-DC08B323B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271261</xdr:colOff>
      <xdr:row>13</xdr:row>
      <xdr:rowOff>160291</xdr:rowOff>
    </xdr:from>
    <xdr:to>
      <xdr:col>9</xdr:col>
      <xdr:colOff>80145</xdr:colOff>
      <xdr:row>24</xdr:row>
      <xdr:rowOff>55486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11E2494A-011E-4E9C-91D4-4AA22A14A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193874</xdr:colOff>
      <xdr:row>4</xdr:row>
      <xdr:rowOff>138775</xdr:rowOff>
    </xdr:from>
    <xdr:to>
      <xdr:col>12</xdr:col>
      <xdr:colOff>521500</xdr:colOff>
      <xdr:row>12</xdr:row>
      <xdr:rowOff>172622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F265630-D069-4CFE-892E-BA9DF3DCC87C}"/>
            </a:ext>
          </a:extLst>
        </xdr:cNvPr>
        <xdr:cNvGrpSpPr/>
      </xdr:nvGrpSpPr>
      <xdr:grpSpPr>
        <a:xfrm>
          <a:off x="5680274" y="1313525"/>
          <a:ext cx="2156426" cy="1608647"/>
          <a:chOff x="5686932" y="1550571"/>
          <a:chExt cx="2158646" cy="1612100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537AEBDA-617D-46B8-AFFC-1FBD57BEB3BB}"/>
              </a:ext>
            </a:extLst>
          </xdr:cNvPr>
          <xdr:cNvGrpSpPr/>
        </xdr:nvGrpSpPr>
        <xdr:grpSpPr>
          <a:xfrm>
            <a:off x="5686932" y="1550571"/>
            <a:ext cx="2158646" cy="1612100"/>
            <a:chOff x="5680767" y="1032707"/>
            <a:chExt cx="2158646" cy="1612100"/>
          </a:xfrm>
        </xdr:grpSpPr>
        <xdr:sp macro="" textlink="FORMULA!L6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B60EAE53-8ECA-42E8-9025-807CDEC903A8}"/>
                </a:ext>
              </a:extLst>
            </xdr:cNvPr>
            <xdr:cNvSpPr/>
          </xdr:nvSpPr>
          <xdr:spPr>
            <a:xfrm>
              <a:off x="5686931" y="1209643"/>
              <a:ext cx="1041293" cy="553561"/>
            </a:xfrm>
            <a:prstGeom prst="roundRect">
              <a:avLst>
                <a:gd name="adj" fmla="val 13442"/>
              </a:avLst>
            </a:prstGeom>
            <a:solidFill>
              <a:schemeClr val="bg1"/>
            </a:solidFill>
            <a:ln w="28575">
              <a:solidFill>
                <a:srgbClr val="00B0F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fld id="{86511528-870B-4402-9855-F4D3490A2922}" type="TxLink">
                <a:rPr lang="en-US" sz="2400" b="1" i="0" u="none" strike="noStrike">
                  <a:solidFill>
                    <a:srgbClr val="00B0F0"/>
                  </a:solidFill>
                  <a:latin typeface="Calibri"/>
                  <a:ea typeface="Calibri"/>
                  <a:cs typeface="Calibri"/>
                </a:rPr>
                <a:pPr algn="r"/>
                <a:t>0</a:t>
              </a:fld>
              <a:endParaRPr lang="en-ID" sz="2400" b="1">
                <a:solidFill>
                  <a:srgbClr val="00B0F0"/>
                </a:solidFill>
              </a:endParaRPr>
            </a:p>
          </xdr:txBody>
        </xdr:sp>
        <xdr:sp macro="" textlink="FORMULA!L7">
          <xdr:nvSpPr>
            <xdr:cNvPr id="27" name="Rectangle: Rounded Corners 26">
              <a:extLst>
                <a:ext uri="{FF2B5EF4-FFF2-40B4-BE49-F238E27FC236}">
                  <a16:creationId xmlns:a16="http://schemas.microsoft.com/office/drawing/2014/main" id="{A0BD74AB-C915-4549-BBEE-BF8B9C28A330}"/>
                </a:ext>
              </a:extLst>
            </xdr:cNvPr>
            <xdr:cNvSpPr/>
          </xdr:nvSpPr>
          <xdr:spPr>
            <a:xfrm>
              <a:off x="6785791" y="1221974"/>
              <a:ext cx="1041293" cy="522735"/>
            </a:xfrm>
            <a:prstGeom prst="roundRect">
              <a:avLst>
                <a:gd name="adj" fmla="val 13442"/>
              </a:avLst>
            </a:prstGeom>
            <a:solidFill>
              <a:schemeClr val="bg1"/>
            </a:solidFill>
            <a:ln w="28575">
              <a:solidFill>
                <a:srgbClr val="00B0F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fld id="{6D51E5AB-A8A0-4DBD-B943-2465FBA7B241}" type="TxLink">
                <a:rPr lang="en-US" sz="2400" b="1" i="0" u="none" strike="noStrike">
                  <a:solidFill>
                    <a:srgbClr val="00B0F0"/>
                  </a:solidFill>
                  <a:latin typeface="Calibri"/>
                  <a:ea typeface="Calibri"/>
                  <a:cs typeface="Calibri"/>
                </a:rPr>
                <a:pPr algn="r"/>
                <a:t>0</a:t>
              </a:fld>
              <a:endParaRPr lang="en-ID" sz="2400" b="1">
                <a:solidFill>
                  <a:srgbClr val="00B0F0"/>
                </a:solidFill>
              </a:endParaRPr>
            </a:p>
          </xdr:txBody>
        </xdr:sp>
        <xdr:sp macro="" textlink="FORMULA!L8">
          <xdr:nvSpPr>
            <xdr:cNvPr id="33" name="Rectangle: Rounded Corners 32">
              <a:extLst>
                <a:ext uri="{FF2B5EF4-FFF2-40B4-BE49-F238E27FC236}">
                  <a16:creationId xmlns:a16="http://schemas.microsoft.com/office/drawing/2014/main" id="{1426156B-0ED3-4162-ABE5-8323F8042575}"/>
                </a:ext>
              </a:extLst>
            </xdr:cNvPr>
            <xdr:cNvSpPr/>
          </xdr:nvSpPr>
          <xdr:spPr>
            <a:xfrm>
              <a:off x="5680767" y="2100001"/>
              <a:ext cx="1041293" cy="544806"/>
            </a:xfrm>
            <a:prstGeom prst="roundRect">
              <a:avLst>
                <a:gd name="adj" fmla="val 13442"/>
              </a:avLst>
            </a:prstGeom>
            <a:solidFill>
              <a:schemeClr val="bg1"/>
            </a:solidFill>
            <a:ln w="28575">
              <a:solidFill>
                <a:srgbClr val="00B0F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fld id="{D90D829B-1E12-4F57-A0C6-85756EE3DFA9}" type="TxLink">
                <a:rPr lang="en-US" sz="2400" b="1" i="0" u="none" strike="noStrike">
                  <a:solidFill>
                    <a:srgbClr val="00B0F0"/>
                  </a:solidFill>
                  <a:latin typeface="Calibri"/>
                  <a:ea typeface="Calibri"/>
                  <a:cs typeface="Calibri"/>
                </a:rPr>
                <a:pPr algn="r"/>
                <a:t> </a:t>
              </a:fld>
              <a:endParaRPr lang="en-ID" sz="2400" b="1">
                <a:solidFill>
                  <a:srgbClr val="00B0F0"/>
                </a:solidFill>
              </a:endParaRPr>
            </a:p>
          </xdr:txBody>
        </xdr:sp>
        <xdr:sp macro="" textlink="FORMULA!L9">
          <xdr:nvSpPr>
            <xdr:cNvPr id="34" name="Rectangle: Rounded Corners 33">
              <a:extLst>
                <a:ext uri="{FF2B5EF4-FFF2-40B4-BE49-F238E27FC236}">
                  <a16:creationId xmlns:a16="http://schemas.microsoft.com/office/drawing/2014/main" id="{F79A08E0-2987-4674-92E3-ED5BB4F78A1D}"/>
                </a:ext>
              </a:extLst>
            </xdr:cNvPr>
            <xdr:cNvSpPr/>
          </xdr:nvSpPr>
          <xdr:spPr>
            <a:xfrm>
              <a:off x="6798120" y="2112331"/>
              <a:ext cx="1041293" cy="532476"/>
            </a:xfrm>
            <a:prstGeom prst="roundRect">
              <a:avLst>
                <a:gd name="adj" fmla="val 13442"/>
              </a:avLst>
            </a:prstGeom>
            <a:solidFill>
              <a:schemeClr val="bg1"/>
            </a:solidFill>
            <a:ln w="28575">
              <a:solidFill>
                <a:srgbClr val="00B0F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4DE6A318-DE04-446D-B791-FD8FB21B52CA}" type="TxLink">
                <a:rPr lang="en-US" sz="2400" b="1" i="0" u="none" strike="noStrike">
                  <a:solidFill>
                    <a:srgbClr val="00B0F0"/>
                  </a:solidFill>
                  <a:latin typeface="Calibri"/>
                  <a:ea typeface="Calibri"/>
                  <a:cs typeface="Calibri"/>
                </a:rPr>
                <a:pPr algn="r"/>
                <a:t>0</a:t>
              </a:fld>
              <a:endParaRPr lang="en-ID" sz="2400" b="1">
                <a:solidFill>
                  <a:srgbClr val="00B0F0"/>
                </a:solidFill>
              </a:endParaRP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86EEFADC-45AD-4A65-B010-5F7179D778DA}"/>
                </a:ext>
              </a:extLst>
            </xdr:cNvPr>
            <xdr:cNvSpPr txBox="1"/>
          </xdr:nvSpPr>
          <xdr:spPr>
            <a:xfrm>
              <a:off x="5889286" y="1887059"/>
              <a:ext cx="654790" cy="273482"/>
            </a:xfrm>
            <a:prstGeom prst="roundRect">
              <a:avLst/>
            </a:prstGeom>
            <a:solidFill>
              <a:srgbClr val="00B0F0"/>
            </a:solidFill>
            <a:ln w="2857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 b="1">
                  <a:solidFill>
                    <a:schemeClr val="bg1"/>
                  </a:solidFill>
                </a:rPr>
                <a:t>RATA2</a:t>
              </a:r>
            </a:p>
          </xdr:txBody>
        </xdr: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B6686057-E836-426E-87DF-296FECB82792}"/>
                </a:ext>
              </a:extLst>
            </xdr:cNvPr>
            <xdr:cNvSpPr txBox="1"/>
          </xdr:nvSpPr>
          <xdr:spPr>
            <a:xfrm>
              <a:off x="5907781" y="1051387"/>
              <a:ext cx="654790" cy="273481"/>
            </a:xfrm>
            <a:prstGeom prst="roundRect">
              <a:avLst/>
            </a:prstGeom>
            <a:solidFill>
              <a:srgbClr val="00B0F0"/>
            </a:solidFill>
            <a:ln w="2857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 b="1">
                  <a:solidFill>
                    <a:schemeClr val="bg1"/>
                  </a:solidFill>
                </a:rPr>
                <a:t>MAX</a:t>
              </a:r>
            </a:p>
          </xdr:txBody>
        </xdr:sp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F2EC98DE-7582-44BA-AA83-BF3A6195386D}"/>
                </a:ext>
              </a:extLst>
            </xdr:cNvPr>
            <xdr:cNvSpPr txBox="1"/>
          </xdr:nvSpPr>
          <xdr:spPr>
            <a:xfrm>
              <a:off x="6976000" y="1032707"/>
              <a:ext cx="654790" cy="273481"/>
            </a:xfrm>
            <a:prstGeom prst="roundRect">
              <a:avLst/>
            </a:prstGeom>
            <a:solidFill>
              <a:srgbClr val="00B0F0"/>
            </a:solidFill>
            <a:ln w="2857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 b="1">
                  <a:solidFill>
                    <a:schemeClr val="bg1"/>
                  </a:solidFill>
                </a:rPr>
                <a:t>MIN</a:t>
              </a:r>
            </a:p>
          </xdr:txBody>
        </xdr: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73CC412B-075C-4375-A4FE-10152419D3E3}"/>
                </a:ext>
              </a:extLst>
            </xdr:cNvPr>
            <xdr:cNvSpPr txBox="1"/>
          </xdr:nvSpPr>
          <xdr:spPr>
            <a:xfrm>
              <a:off x="7007378" y="1923864"/>
              <a:ext cx="654790" cy="273482"/>
            </a:xfrm>
            <a:prstGeom prst="roundRect">
              <a:avLst/>
            </a:prstGeom>
            <a:solidFill>
              <a:srgbClr val="00B0F0"/>
            </a:solidFill>
            <a:ln w="2857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D" sz="1100" b="1">
                  <a:solidFill>
                    <a:schemeClr val="bg1"/>
                  </a:solidFill>
                </a:rPr>
                <a:t>LOKASI</a:t>
              </a:r>
            </a:p>
          </xdr:txBody>
        </xdr:sp>
        <xdr:pic>
          <xdr:nvPicPr>
            <xdr:cNvPr id="12" name="Graphic 11" descr="Bar graph with downward trend with solid fill">
              <a:extLst>
                <a:ext uri="{FF2B5EF4-FFF2-40B4-BE49-F238E27FC236}">
                  <a16:creationId xmlns:a16="http://schemas.microsoft.com/office/drawing/2014/main" id="{0CA0C2D9-009A-4FEE-A405-6DC3DD8A40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6791164" y="1336935"/>
              <a:ext cx="362347" cy="362010"/>
            </a:xfrm>
            <a:prstGeom prst="rect">
              <a:avLst/>
            </a:prstGeom>
          </xdr:spPr>
        </xdr:pic>
        <xdr:pic>
          <xdr:nvPicPr>
            <xdr:cNvPr id="16" name="Graphic 15" descr="Marker with solid fill">
              <a:extLst>
                <a:ext uri="{FF2B5EF4-FFF2-40B4-BE49-F238E27FC236}">
                  <a16:creationId xmlns:a16="http://schemas.microsoft.com/office/drawing/2014/main" id="{49729D53-C9A2-4F27-8EA7-B2D329F2CD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6744876" y="2188620"/>
              <a:ext cx="414282" cy="414439"/>
            </a:xfrm>
            <a:prstGeom prst="rect">
              <a:avLst/>
            </a:prstGeom>
          </xdr:spPr>
        </xdr:pic>
        <xdr:pic>
          <xdr:nvPicPr>
            <xdr:cNvPr id="19" name="Graphic 18" descr="Mathematics with solid fill">
              <a:extLst>
                <a:ext uri="{FF2B5EF4-FFF2-40B4-BE49-F238E27FC236}">
                  <a16:creationId xmlns:a16="http://schemas.microsoft.com/office/drawing/2014/main" id="{8C46E268-969C-44D5-AA6B-22D1A7FB20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8"/>
                </a:ext>
              </a:extLst>
            </a:blip>
            <a:stretch>
              <a:fillRect/>
            </a:stretch>
          </xdr:blipFill>
          <xdr:spPr>
            <a:xfrm>
              <a:off x="5701694" y="2232441"/>
              <a:ext cx="375578" cy="375746"/>
            </a:xfrm>
            <a:prstGeom prst="rect">
              <a:avLst/>
            </a:prstGeom>
          </xdr:spPr>
        </xdr:pic>
      </xdr:grpSp>
      <xdr:pic>
        <xdr:nvPicPr>
          <xdr:cNvPr id="14" name="Graphic 13" descr="Bar graph with upward trend with solid fill">
            <a:extLst>
              <a:ext uri="{FF2B5EF4-FFF2-40B4-BE49-F238E27FC236}">
                <a16:creationId xmlns:a16="http://schemas.microsoft.com/office/drawing/2014/main" id="{B482EDBE-859D-4EB8-95B7-7589257056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0"/>
              </a:ext>
            </a:extLst>
          </a:blip>
          <a:stretch>
            <a:fillRect/>
          </a:stretch>
        </xdr:blipFill>
        <xdr:spPr>
          <a:xfrm>
            <a:off x="5703160" y="1856276"/>
            <a:ext cx="359720" cy="359383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412750</xdr:colOff>
      <xdr:row>1</xdr:row>
      <xdr:rowOff>177800</xdr:rowOff>
    </xdr:from>
    <xdr:to>
      <xdr:col>9</xdr:col>
      <xdr:colOff>297990</xdr:colOff>
      <xdr:row>4</xdr:row>
      <xdr:rowOff>12700</xdr:rowOff>
    </xdr:to>
    <xdr:pic>
      <xdr:nvPicPr>
        <xdr:cNvPr id="67" name="Picture 66" descr="Question Button Icon&quot; Images – Browse ...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F6C6CD5-459F-467B-A157-2513830D28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06" t="12968" r="21964" b="11604"/>
        <a:stretch/>
      </xdr:blipFill>
      <xdr:spPr bwMode="auto">
        <a:xfrm>
          <a:off x="5289550" y="685800"/>
          <a:ext cx="494840" cy="501650"/>
        </a:xfrm>
        <a:prstGeom prst="flowChartConnector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368300</xdr:colOff>
      <xdr:row>13</xdr:row>
      <xdr:rowOff>31750</xdr:rowOff>
    </xdr:from>
    <xdr:to>
      <xdr:col>9</xdr:col>
      <xdr:colOff>253540</xdr:colOff>
      <xdr:row>15</xdr:row>
      <xdr:rowOff>139700</xdr:rowOff>
    </xdr:to>
    <xdr:pic>
      <xdr:nvPicPr>
        <xdr:cNvPr id="73" name="Picture 72" descr="Question Button Icon&quot; Images – Browse ...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B9BBA2F-A5F2-42EE-A86C-3B765DBF85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06" t="12968" r="21964" b="11604"/>
        <a:stretch/>
      </xdr:blipFill>
      <xdr:spPr bwMode="auto">
        <a:xfrm>
          <a:off x="5245100" y="2978150"/>
          <a:ext cx="494840" cy="501650"/>
        </a:xfrm>
        <a:prstGeom prst="flowChartConnector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245706</xdr:colOff>
      <xdr:row>4</xdr:row>
      <xdr:rowOff>109376</xdr:rowOff>
    </xdr:from>
    <xdr:to>
      <xdr:col>12</xdr:col>
      <xdr:colOff>473009</xdr:colOff>
      <xdr:row>26</xdr:row>
      <xdr:rowOff>68878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015BC-D585-4CCE-8BA8-3BF26D0E4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152532</xdr:colOff>
      <xdr:row>4</xdr:row>
      <xdr:rowOff>76586</xdr:rowOff>
    </xdr:from>
    <xdr:to>
      <xdr:col>19</xdr:col>
      <xdr:colOff>222250</xdr:colOff>
      <xdr:row>26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821770-3C6E-45A5-8C8A-F55367C10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504143</xdr:colOff>
      <xdr:row>0</xdr:row>
      <xdr:rowOff>14941</xdr:rowOff>
    </xdr:from>
    <xdr:ext cx="5883342" cy="781111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7FECFAF-DE96-4920-A108-75F45D931C1C}"/>
            </a:ext>
          </a:extLst>
        </xdr:cNvPr>
        <xdr:cNvSpPr/>
      </xdr:nvSpPr>
      <xdr:spPr>
        <a:xfrm>
          <a:off x="4179672" y="14941"/>
          <a:ext cx="5883342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400" b="1" cap="none" spc="0" baseline="0">
              <a:ln w="0"/>
              <a:solidFill>
                <a:srgbClr val="00B0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POIN </a:t>
          </a:r>
          <a:r>
            <a:rPr lang="en-US" sz="4400" b="1" cap="none" spc="0">
              <a:ln w="0"/>
              <a:solidFill>
                <a:srgbClr val="00B0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KERAPIAN SEPATU</a:t>
          </a:r>
        </a:p>
      </xdr:txBody>
    </xdr:sp>
    <xdr:clientData/>
  </xdr:oneCellAnchor>
  <xdr:twoCellAnchor editAs="oneCell">
    <xdr:from>
      <xdr:col>5</xdr:col>
      <xdr:colOff>400744</xdr:colOff>
      <xdr:row>0</xdr:row>
      <xdr:rowOff>176930</xdr:rowOff>
    </xdr:from>
    <xdr:to>
      <xdr:col>6</xdr:col>
      <xdr:colOff>420313</xdr:colOff>
      <xdr:row>3</xdr:row>
      <xdr:rowOff>27987</xdr:rowOff>
    </xdr:to>
    <xdr:pic>
      <xdr:nvPicPr>
        <xdr:cNvPr id="8" name="Picture 7" descr="Shoes icon (29596251) – Royalty-Free ...">
          <a:extLst>
            <a:ext uri="{FF2B5EF4-FFF2-40B4-BE49-F238E27FC236}">
              <a16:creationId xmlns:a16="http://schemas.microsoft.com/office/drawing/2014/main" id="{D28BFE94-CC76-4911-AA62-DEBCE54AEA6D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257"/>
        <a:stretch/>
      </xdr:blipFill>
      <xdr:spPr bwMode="auto">
        <a:xfrm>
          <a:off x="3463685" y="176930"/>
          <a:ext cx="632157" cy="49352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16</xdr:col>
      <xdr:colOff>335950</xdr:colOff>
      <xdr:row>0</xdr:row>
      <xdr:rowOff>144533</xdr:rowOff>
    </xdr:from>
    <xdr:to>
      <xdr:col>17</xdr:col>
      <xdr:colOff>355518</xdr:colOff>
      <xdr:row>2</xdr:row>
      <xdr:rowOff>182355</xdr:rowOff>
    </xdr:to>
    <xdr:pic>
      <xdr:nvPicPr>
        <xdr:cNvPr id="9" name="Picture 8" descr="Shoes icon (29596251) – Royalty-Free ...">
          <a:extLst>
            <a:ext uri="{FF2B5EF4-FFF2-40B4-BE49-F238E27FC236}">
              <a16:creationId xmlns:a16="http://schemas.microsoft.com/office/drawing/2014/main" id="{527A20D0-67CD-46E5-A370-65DD7CD9A2F2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257"/>
        <a:stretch/>
      </xdr:blipFill>
      <xdr:spPr bwMode="auto">
        <a:xfrm>
          <a:off x="10137362" y="144533"/>
          <a:ext cx="632156" cy="49352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264120</xdr:colOff>
      <xdr:row>0</xdr:row>
      <xdr:rowOff>97195</xdr:rowOff>
    </xdr:from>
    <xdr:to>
      <xdr:col>19</xdr:col>
      <xdr:colOff>362857</xdr:colOff>
      <xdr:row>2</xdr:row>
      <xdr:rowOff>182343</xdr:rowOff>
    </xdr:to>
    <xdr:pic>
      <xdr:nvPicPr>
        <xdr:cNvPr id="10" name="Pictur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08CF11-8259-46F6-B08C-60FC340FE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27589" y="97195"/>
          <a:ext cx="707819" cy="5248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482600</xdr:colOff>
      <xdr:row>4</xdr:row>
      <xdr:rowOff>131808</xdr:rowOff>
    </xdr:from>
    <xdr:to>
      <xdr:col>12</xdr:col>
      <xdr:colOff>425450</xdr:colOff>
      <xdr:row>26</xdr:row>
      <xdr:rowOff>114494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4D848-7F9F-4ADB-9DCC-0228E9786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63500</xdr:colOff>
      <xdr:row>4</xdr:row>
      <xdr:rowOff>133350</xdr:rowOff>
    </xdr:from>
    <xdr:to>
      <xdr:col>19</xdr:col>
      <xdr:colOff>146050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25CB5F-252F-4DFE-A268-12D2B6456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99039</xdr:colOff>
      <xdr:row>0</xdr:row>
      <xdr:rowOff>0</xdr:rowOff>
    </xdr:from>
    <xdr:ext cx="5967789" cy="515496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304BF3D-E6CB-4BDA-8AE7-38CC8B79F5F5}"/>
            </a:ext>
          </a:extLst>
        </xdr:cNvPr>
        <xdr:cNvSpPr/>
      </xdr:nvSpPr>
      <xdr:spPr>
        <a:xfrm>
          <a:off x="3756639" y="0"/>
          <a:ext cx="5967789" cy="51549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400" b="1" cap="none" spc="0" baseline="0">
              <a:ln w="0"/>
              <a:solidFill>
                <a:srgbClr val="00B0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POIN </a:t>
          </a:r>
          <a:r>
            <a:rPr lang="en-US" sz="4400" b="1" cap="none" spc="0">
              <a:ln w="0"/>
              <a:solidFill>
                <a:srgbClr val="00B0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KERAPIAN SANDAL</a:t>
          </a:r>
        </a:p>
      </xdr:txBody>
    </xdr:sp>
    <xdr:clientData/>
  </xdr:oneCellAnchor>
  <xdr:twoCellAnchor editAs="oneCell">
    <xdr:from>
      <xdr:col>5</xdr:col>
      <xdr:colOff>241301</xdr:colOff>
      <xdr:row>0</xdr:row>
      <xdr:rowOff>153615</xdr:rowOff>
    </xdr:from>
    <xdr:to>
      <xdr:col>6</xdr:col>
      <xdr:colOff>101600</xdr:colOff>
      <xdr:row>3</xdr:row>
      <xdr:rowOff>57151</xdr:rowOff>
    </xdr:to>
    <xdr:pic>
      <xdr:nvPicPr>
        <xdr:cNvPr id="8" name="Picture 7" descr="Sandals icon | Freepik">
          <a:extLst>
            <a:ext uri="{FF2B5EF4-FFF2-40B4-BE49-F238E27FC236}">
              <a16:creationId xmlns:a16="http://schemas.microsoft.com/office/drawing/2014/main" id="{B9DD086A-C48E-436F-B594-DAF7B1632EAB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9301" y="153615"/>
          <a:ext cx="469899" cy="538536"/>
        </a:xfrm>
        <a:prstGeom prst="rect">
          <a:avLst/>
        </a:prstGeom>
        <a:noFill/>
      </xdr:spPr>
    </xdr:pic>
    <xdr:clientData/>
  </xdr:twoCellAnchor>
  <xdr:twoCellAnchor editAs="oneCell">
    <xdr:from>
      <xdr:col>15</xdr:col>
      <xdr:colOff>558801</xdr:colOff>
      <xdr:row>0</xdr:row>
      <xdr:rowOff>140915</xdr:rowOff>
    </xdr:from>
    <xdr:to>
      <xdr:col>16</xdr:col>
      <xdr:colOff>419100</xdr:colOff>
      <xdr:row>3</xdr:row>
      <xdr:rowOff>44451</xdr:rowOff>
    </xdr:to>
    <xdr:pic>
      <xdr:nvPicPr>
        <xdr:cNvPr id="9" name="Picture 8" descr="Sandals icon | Freepik">
          <a:extLst>
            <a:ext uri="{FF2B5EF4-FFF2-40B4-BE49-F238E27FC236}">
              <a16:creationId xmlns:a16="http://schemas.microsoft.com/office/drawing/2014/main" id="{2409BC09-A3EA-4A21-8BDC-96A81124759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2801" y="140915"/>
          <a:ext cx="469899" cy="538536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50800</xdr:colOff>
      <xdr:row>0</xdr:row>
      <xdr:rowOff>152400</xdr:rowOff>
    </xdr:from>
    <xdr:to>
      <xdr:col>19</xdr:col>
      <xdr:colOff>149537</xdr:colOff>
      <xdr:row>3</xdr:row>
      <xdr:rowOff>53398</xdr:rowOff>
    </xdr:to>
    <xdr:pic>
      <xdr:nvPicPr>
        <xdr:cNvPr id="10" name="Pictur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58923B0-6BC5-45B2-9957-B5DB341AE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23600" y="152400"/>
          <a:ext cx="708337" cy="535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8DC5-5CEB-4257-A72E-3BB4789C54D4}">
  <sheetPr codeName="Sheet1"/>
  <dimension ref="A1:T29"/>
  <sheetViews>
    <sheetView showGridLines="0" showRowColHeaders="0" zoomScaleNormal="100" workbookViewId="0">
      <selection activeCell="K24" sqref="K24"/>
    </sheetView>
  </sheetViews>
  <sheetFormatPr defaultColWidth="0" defaultRowHeight="14.5" zeroHeight="1" x14ac:dyDescent="0.35"/>
  <cols>
    <col min="1" max="20" width="8.7265625" style="1" customWidth="1"/>
    <col min="21" max="16384" width="8.7265625" style="1" hidden="1"/>
  </cols>
  <sheetData>
    <row r="1" spans="8:16" x14ac:dyDescent="0.35"/>
    <row r="2" spans="8:16" x14ac:dyDescent="0.35"/>
    <row r="3" spans="8:16" x14ac:dyDescent="0.35"/>
    <row r="4" spans="8:16" x14ac:dyDescent="0.35"/>
    <row r="5" spans="8:16" x14ac:dyDescent="0.35"/>
    <row r="6" spans="8:16" x14ac:dyDescent="0.35"/>
    <row r="7" spans="8:16" x14ac:dyDescent="0.35"/>
    <row r="8" spans="8:16" x14ac:dyDescent="0.35"/>
    <row r="9" spans="8:16" x14ac:dyDescent="0.35"/>
    <row r="10" spans="8:16" x14ac:dyDescent="0.35"/>
    <row r="11" spans="8:16" x14ac:dyDescent="0.35"/>
    <row r="12" spans="8:16" x14ac:dyDescent="0.35"/>
    <row r="13" spans="8:16" x14ac:dyDescent="0.35"/>
    <row r="14" spans="8:16" x14ac:dyDescent="0.35"/>
    <row r="15" spans="8:16" x14ac:dyDescent="0.35"/>
    <row r="16" spans="8:16" ht="14.5" customHeight="1" x14ac:dyDescent="0.35">
      <c r="H16" s="86" t="s">
        <v>28</v>
      </c>
      <c r="I16" s="86"/>
      <c r="J16" s="86"/>
      <c r="K16" s="86"/>
      <c r="L16" s="86"/>
      <c r="M16" s="86"/>
      <c r="N16" s="85"/>
      <c r="O16" s="85"/>
      <c r="P16" s="85"/>
    </row>
    <row r="17" spans="8:16" ht="14.5" customHeight="1" x14ac:dyDescent="0.35">
      <c r="H17" s="86"/>
      <c r="I17" s="86"/>
      <c r="J17" s="86"/>
      <c r="K17" s="86"/>
      <c r="L17" s="86"/>
      <c r="M17" s="86"/>
      <c r="N17" s="85"/>
      <c r="O17" s="85"/>
      <c r="P17" s="85"/>
    </row>
    <row r="18" spans="8:16" ht="14.5" customHeight="1" x14ac:dyDescent="0.35">
      <c r="H18" s="86"/>
      <c r="I18" s="86"/>
      <c r="J18" s="86"/>
      <c r="K18" s="86"/>
      <c r="L18" s="86"/>
      <c r="M18" s="86"/>
      <c r="N18" s="85"/>
      <c r="O18" s="85"/>
      <c r="P18" s="85"/>
    </row>
    <row r="19" spans="8:16" ht="14.5" customHeight="1" x14ac:dyDescent="0.35">
      <c r="H19" s="86"/>
      <c r="I19" s="86"/>
      <c r="J19" s="86"/>
      <c r="K19" s="86"/>
      <c r="L19" s="86"/>
      <c r="M19" s="86"/>
      <c r="N19" s="85"/>
      <c r="O19" s="85"/>
      <c r="P19" s="85"/>
    </row>
    <row r="20" spans="8:16" ht="14.5" customHeight="1" x14ac:dyDescent="0.35">
      <c r="H20" s="86"/>
      <c r="I20" s="86"/>
      <c r="J20" s="86"/>
      <c r="K20" s="86"/>
      <c r="L20" s="86"/>
      <c r="M20" s="86"/>
      <c r="N20" s="85"/>
      <c r="O20" s="85"/>
      <c r="P20" s="85"/>
    </row>
    <row r="21" spans="8:16" ht="14.5" customHeight="1" x14ac:dyDescent="0.35">
      <c r="H21" s="86"/>
      <c r="I21" s="86"/>
      <c r="J21" s="86"/>
      <c r="K21" s="86"/>
      <c r="L21" s="86"/>
      <c r="M21" s="86"/>
      <c r="N21" s="85"/>
      <c r="O21" s="85"/>
      <c r="P21" s="85"/>
    </row>
    <row r="22" spans="8:16" x14ac:dyDescent="0.35">
      <c r="H22" s="86"/>
      <c r="I22" s="86"/>
      <c r="J22" s="86"/>
      <c r="K22" s="86"/>
      <c r="L22" s="86"/>
      <c r="M22" s="86"/>
    </row>
    <row r="23" spans="8:16" x14ac:dyDescent="0.35"/>
    <row r="24" spans="8:16" x14ac:dyDescent="0.35"/>
    <row r="25" spans="8:16" x14ac:dyDescent="0.35"/>
    <row r="26" spans="8:16" x14ac:dyDescent="0.35"/>
    <row r="27" spans="8:16" x14ac:dyDescent="0.35"/>
    <row r="28" spans="8:16" x14ac:dyDescent="0.35"/>
    <row r="29" spans="8:16" x14ac:dyDescent="0.35"/>
  </sheetData>
  <sheetProtection algorithmName="SHA-512" hashValue="ItQr5Lwp99McbDHnuCDrs7RLIQBsad2qhWKDeZQziK0iAHCzjlCWIVqW/EmmgLuVUrK0KTIjzRV/xz+SsbXWuQ==" saltValue="F8HN9iL5ak2oOafNIkd36g==" spinCount="100000" sheet="1" objects="1" scenarios="1"/>
  <mergeCells count="1">
    <mergeCell ref="H16:M22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A007-007C-436E-A7C6-5CBEE3B5A05A}">
  <sheetPr codeName="Sheet2"/>
  <dimension ref="A1:T29"/>
  <sheetViews>
    <sheetView showGridLines="0" showRowColHeaders="0" zoomScale="101" zoomScaleNormal="90" workbookViewId="0">
      <selection activeCell="Q13" sqref="Q13"/>
    </sheetView>
  </sheetViews>
  <sheetFormatPr defaultColWidth="0" defaultRowHeight="14.5" customHeight="1" zeroHeight="1" x14ac:dyDescent="0.35"/>
  <cols>
    <col min="1" max="20" width="8.7265625" style="1" customWidth="1"/>
    <col min="21" max="16384" width="8.7265625" style="1" hidden="1"/>
  </cols>
  <sheetData>
    <row r="1" spans="2:15" x14ac:dyDescent="0.35"/>
    <row r="2" spans="2:15" x14ac:dyDescent="0.35"/>
    <row r="3" spans="2:15" ht="15" thickBot="1" x14ac:dyDescent="0.4"/>
    <row r="4" spans="2:15" ht="15.5" thickTop="1" thickBot="1" x14ac:dyDescent="0.4">
      <c r="C4" s="3"/>
      <c r="D4" s="3"/>
      <c r="E4" s="3"/>
      <c r="F4" s="3"/>
      <c r="G4" s="51"/>
      <c r="H4" s="51"/>
      <c r="I4" s="51"/>
      <c r="J4" s="51"/>
      <c r="K4" s="51"/>
      <c r="L4" s="51"/>
      <c r="M4" s="51"/>
      <c r="N4" s="51"/>
    </row>
    <row r="5" spans="2:15" ht="15.5" thickTop="1" thickBot="1" x14ac:dyDescent="0.4">
      <c r="B5" s="3"/>
      <c r="C5" s="3"/>
      <c r="D5" s="3"/>
      <c r="E5" s="3"/>
      <c r="F5" s="3"/>
      <c r="G5" s="51"/>
      <c r="H5" s="51"/>
      <c r="I5" s="51"/>
      <c r="J5" s="51"/>
      <c r="K5" s="51"/>
      <c r="L5" s="51"/>
      <c r="M5" s="51"/>
      <c r="N5" s="51"/>
    </row>
    <row r="6" spans="2:15" ht="15.5" thickTop="1" thickBot="1" x14ac:dyDescent="0.4">
      <c r="B6" s="3"/>
      <c r="C6" s="3"/>
      <c r="D6" s="3"/>
      <c r="E6" s="3"/>
      <c r="F6" s="3"/>
      <c r="G6" s="51"/>
      <c r="H6" s="51"/>
      <c r="I6" s="51"/>
      <c r="J6" s="51"/>
      <c r="K6" s="51"/>
      <c r="L6" s="51"/>
      <c r="M6" s="51"/>
      <c r="N6" s="51"/>
    </row>
    <row r="7" spans="2:15" ht="15.5" thickTop="1" thickBot="1" x14ac:dyDescent="0.4">
      <c r="B7" s="3"/>
      <c r="C7" s="3"/>
      <c r="D7" s="3"/>
      <c r="E7" s="3"/>
      <c r="F7" s="3"/>
      <c r="G7" s="51"/>
      <c r="H7" s="51"/>
      <c r="I7" s="51"/>
      <c r="J7" s="51"/>
      <c r="K7" s="51"/>
      <c r="L7" s="51"/>
      <c r="M7" s="51"/>
      <c r="N7" s="51"/>
    </row>
    <row r="8" spans="2:15" ht="15.5" thickTop="1" thickBot="1" x14ac:dyDescent="0.4"/>
    <row r="9" spans="2:15" ht="15.5" thickTop="1" thickBot="1" x14ac:dyDescent="0.4">
      <c r="F9" s="2" t="str">
        <f>IF(H9&lt;&gt;"","","TULIS NAMA KETUA")</f>
        <v>TULIS NAMA KETUA</v>
      </c>
      <c r="G9" s="52"/>
      <c r="H9" s="54"/>
      <c r="I9" s="55"/>
      <c r="J9" s="55"/>
      <c r="K9" s="55"/>
      <c r="L9" s="56"/>
      <c r="M9" s="50"/>
      <c r="N9" s="50"/>
      <c r="O9" s="2" t="str">
        <f>IF(H9&lt;&gt;"","KETUA","")</f>
        <v/>
      </c>
    </row>
    <row r="10" spans="2:15" ht="15.5" thickTop="1" thickBot="1" x14ac:dyDescent="0.4">
      <c r="F10" s="2" t="str">
        <f>IF(H9&lt;&gt;"",1,"")</f>
        <v/>
      </c>
      <c r="G10" s="53"/>
      <c r="H10" s="57"/>
      <c r="I10" s="58"/>
      <c r="J10" s="58"/>
      <c r="K10" s="58"/>
      <c r="L10" s="59"/>
      <c r="M10" s="50"/>
      <c r="N10" s="50"/>
      <c r="O10" s="2"/>
    </row>
    <row r="11" spans="2:15" ht="15.5" customHeight="1" thickTop="1" thickBot="1" x14ac:dyDescent="0.4">
      <c r="F11" s="2" t="str">
        <f>IF(H11&lt;&gt;"","","TULIS NAMA ANGGOTA")</f>
        <v>TULIS NAMA ANGGOTA</v>
      </c>
      <c r="G11" s="52"/>
      <c r="H11" s="54"/>
      <c r="I11" s="55"/>
      <c r="J11" s="55"/>
      <c r="K11" s="55"/>
      <c r="L11" s="56"/>
      <c r="M11" s="50"/>
      <c r="N11" s="50"/>
      <c r="O11" s="2" t="str">
        <f>IF(H11&lt;&gt;"","ANGGOTA","")</f>
        <v/>
      </c>
    </row>
    <row r="12" spans="2:15" ht="15.5" customHeight="1" thickTop="1" thickBot="1" x14ac:dyDescent="0.4">
      <c r="F12" s="2" t="str">
        <f>IF(H11&lt;&gt;"",2,"")</f>
        <v/>
      </c>
      <c r="G12" s="53"/>
      <c r="H12" s="57"/>
      <c r="I12" s="58"/>
      <c r="J12" s="58"/>
      <c r="K12" s="58"/>
      <c r="L12" s="59"/>
      <c r="M12" s="50"/>
      <c r="N12" s="50"/>
      <c r="O12" s="2"/>
    </row>
    <row r="13" spans="2:15" ht="15.5" customHeight="1" thickTop="1" thickBot="1" x14ac:dyDescent="0.4">
      <c r="F13" s="2" t="str">
        <f>IF(H13&lt;&gt;"","","TULIS NAMA ANGGOTA")</f>
        <v>TULIS NAMA ANGGOTA</v>
      </c>
      <c r="G13" s="52"/>
      <c r="H13" s="54"/>
      <c r="I13" s="55"/>
      <c r="J13" s="55"/>
      <c r="K13" s="55"/>
      <c r="L13" s="56"/>
      <c r="M13" s="50"/>
      <c r="N13" s="50"/>
      <c r="O13" s="2" t="str">
        <f>IF(H13&lt;&gt;"","ANGGOTA","")</f>
        <v/>
      </c>
    </row>
    <row r="14" spans="2:15" ht="15.5" customHeight="1" thickTop="1" thickBot="1" x14ac:dyDescent="0.4">
      <c r="F14" s="2" t="str">
        <f>IF(H13&lt;&gt;"",3,"")</f>
        <v/>
      </c>
      <c r="G14" s="53"/>
      <c r="H14" s="57"/>
      <c r="I14" s="58"/>
      <c r="J14" s="58"/>
      <c r="K14" s="58"/>
      <c r="L14" s="59"/>
      <c r="M14" s="50"/>
      <c r="N14" s="50"/>
      <c r="O14" s="2"/>
    </row>
    <row r="15" spans="2:15" ht="15.5" customHeight="1" thickTop="1" thickBot="1" x14ac:dyDescent="0.4">
      <c r="F15" s="2" t="str">
        <f>IF(H15&lt;&gt;"","","TULIS NAMA ANGGOTA")</f>
        <v>TULIS NAMA ANGGOTA</v>
      </c>
      <c r="G15" s="52"/>
      <c r="H15" s="54"/>
      <c r="I15" s="55"/>
      <c r="J15" s="55"/>
      <c r="K15" s="55"/>
      <c r="L15" s="56"/>
      <c r="M15" s="50"/>
      <c r="N15" s="50"/>
      <c r="O15" s="2" t="str">
        <f>IF(H15&lt;&gt;"","ANGGOTA","")</f>
        <v/>
      </c>
    </row>
    <row r="16" spans="2:15" ht="15.5" customHeight="1" thickTop="1" thickBot="1" x14ac:dyDescent="0.4">
      <c r="F16" s="2" t="str">
        <f>IF(H15&lt;&gt;"",4,"")</f>
        <v/>
      </c>
      <c r="G16" s="53"/>
      <c r="H16" s="57"/>
      <c r="I16" s="58"/>
      <c r="J16" s="58"/>
      <c r="K16" s="58"/>
      <c r="L16" s="59"/>
      <c r="M16" s="50"/>
      <c r="N16" s="50"/>
      <c r="O16" s="2"/>
    </row>
    <row r="17" spans="2:15" ht="15.5" customHeight="1" thickTop="1" thickBot="1" x14ac:dyDescent="0.4">
      <c r="F17" s="2" t="str">
        <f>IF(H17&lt;&gt;"","","TULIS NAMA ANGGOTA")</f>
        <v>TULIS NAMA ANGGOTA</v>
      </c>
      <c r="G17" s="52"/>
      <c r="H17" s="54"/>
      <c r="I17" s="55"/>
      <c r="J17" s="55"/>
      <c r="K17" s="55"/>
      <c r="L17" s="56"/>
      <c r="M17" s="50"/>
      <c r="N17" s="50"/>
      <c r="O17" s="2" t="str">
        <f>IF(H17&lt;&gt;"","ANGGOTA","")</f>
        <v/>
      </c>
    </row>
    <row r="18" spans="2:15" ht="15.5" customHeight="1" thickTop="1" thickBot="1" x14ac:dyDescent="0.4">
      <c r="F18" s="2" t="str">
        <f>IF(H17&lt;&gt;"",5,"")</f>
        <v/>
      </c>
      <c r="G18" s="53"/>
      <c r="H18" s="57"/>
      <c r="I18" s="58"/>
      <c r="J18" s="58"/>
      <c r="K18" s="58"/>
      <c r="L18" s="59"/>
      <c r="M18" s="50"/>
      <c r="N18" s="50"/>
      <c r="O18" s="2"/>
    </row>
    <row r="19" spans="2:15" ht="15.5" customHeight="1" thickTop="1" thickBot="1" x14ac:dyDescent="0.4">
      <c r="F19" s="2" t="str">
        <f>IF(H19&lt;&gt;"","","TULIS NAMA ANGGOTA")</f>
        <v>TULIS NAMA ANGGOTA</v>
      </c>
      <c r="G19" s="52"/>
      <c r="H19" s="54"/>
      <c r="I19" s="55"/>
      <c r="J19" s="55"/>
      <c r="K19" s="55"/>
      <c r="L19" s="56"/>
      <c r="M19" s="50"/>
      <c r="N19" s="50"/>
      <c r="O19" s="2" t="str">
        <f>IF(H19&lt;&gt;"","ANGGOTA","")</f>
        <v/>
      </c>
    </row>
    <row r="20" spans="2:15" ht="15.5" customHeight="1" thickTop="1" thickBot="1" x14ac:dyDescent="0.4">
      <c r="F20" s="2" t="str">
        <f>IF(H19&lt;&gt;"",6,"")</f>
        <v/>
      </c>
      <c r="G20" s="53"/>
      <c r="H20" s="57"/>
      <c r="I20" s="58"/>
      <c r="J20" s="58"/>
      <c r="K20" s="58"/>
      <c r="L20" s="59"/>
      <c r="M20" s="50"/>
      <c r="N20" s="50"/>
      <c r="O20" s="2"/>
    </row>
    <row r="21" spans="2:15" ht="15.5" customHeight="1" thickTop="1" thickBot="1" x14ac:dyDescent="0.4">
      <c r="F21" s="2" t="str">
        <f>IF(H21&lt;&gt;"","","TULIS NAMA ANGGOTA")</f>
        <v>TULIS NAMA ANGGOTA</v>
      </c>
      <c r="G21" s="52"/>
      <c r="H21" s="54"/>
      <c r="I21" s="55"/>
      <c r="J21" s="55"/>
      <c r="K21" s="55"/>
      <c r="L21" s="56"/>
      <c r="M21" s="50"/>
      <c r="N21" s="50"/>
      <c r="O21" s="2" t="str">
        <f>IF(H21&lt;&gt;"","ANGGOTA","")</f>
        <v/>
      </c>
    </row>
    <row r="22" spans="2:15" ht="15.5" customHeight="1" thickTop="1" thickBot="1" x14ac:dyDescent="0.4">
      <c r="F22" s="2" t="str">
        <f>IF(H21&lt;&gt;"",7,"")</f>
        <v/>
      </c>
      <c r="G22" s="53"/>
      <c r="H22" s="57"/>
      <c r="I22" s="58"/>
      <c r="J22" s="58"/>
      <c r="K22" s="58"/>
      <c r="L22" s="59"/>
      <c r="M22" s="50"/>
      <c r="N22" s="50"/>
      <c r="O22" s="2"/>
    </row>
    <row r="23" spans="2:15" ht="15.5" customHeight="1" thickTop="1" thickBot="1" x14ac:dyDescent="0.4">
      <c r="F23" s="2" t="str">
        <f>IF(H23&lt;&gt;"","","TULIS NAMA ANGGOTA")</f>
        <v>TULIS NAMA ANGGOTA</v>
      </c>
      <c r="G23" s="52"/>
      <c r="H23" s="54"/>
      <c r="I23" s="55"/>
      <c r="J23" s="55"/>
      <c r="K23" s="55"/>
      <c r="L23" s="56"/>
      <c r="M23" s="50"/>
      <c r="N23" s="50"/>
      <c r="O23" s="2" t="str">
        <f>IF(H23&lt;&gt;"","ANGGOTA","")</f>
        <v/>
      </c>
    </row>
    <row r="24" spans="2:15" ht="15.5" customHeight="1" thickTop="1" thickBot="1" x14ac:dyDescent="0.4">
      <c r="F24" s="2" t="str">
        <f>IF(H23&lt;&gt;"",8,"")</f>
        <v/>
      </c>
      <c r="G24" s="53"/>
      <c r="H24" s="57"/>
      <c r="I24" s="58"/>
      <c r="J24" s="58"/>
      <c r="K24" s="58"/>
      <c r="L24" s="59"/>
      <c r="M24" s="50"/>
      <c r="N24" s="50"/>
      <c r="O24" s="2"/>
    </row>
    <row r="25" spans="2:15" ht="15" thickTop="1" x14ac:dyDescent="0.35"/>
    <row r="26" spans="2:15" x14ac:dyDescent="0.35"/>
    <row r="27" spans="2:15" x14ac:dyDescent="0.35">
      <c r="B27" s="2" t="str">
        <f>IF(G4&lt;&gt;"","","TULIS NAMA KELOMPOK")</f>
        <v>TULIS NAMA KELOMPOK</v>
      </c>
    </row>
    <row r="28" spans="2:15" x14ac:dyDescent="0.35"/>
    <row r="29" spans="2:15" x14ac:dyDescent="0.35"/>
  </sheetData>
  <sheetProtection algorithmName="SHA-512" hashValue="mwSHCT56hVN19Yd+HtgU7nX09xN7mGWOueW4qy/efRz7XRJS0a4ciVUfqVdEpRcDnFER7I7/2q+vpTC/mOk61A==" saltValue="BbjmK7iwdIHXeIbMfAHQKg==" spinCount="100000" sheet="1" objects="1" scenarios="1"/>
  <mergeCells count="25">
    <mergeCell ref="H15:L16"/>
    <mergeCell ref="G17:G18"/>
    <mergeCell ref="G21:G22"/>
    <mergeCell ref="G23:G24"/>
    <mergeCell ref="H19:L20"/>
    <mergeCell ref="H21:L22"/>
    <mergeCell ref="H23:L24"/>
    <mergeCell ref="G19:G20"/>
    <mergeCell ref="H17:L18"/>
    <mergeCell ref="M17:N18"/>
    <mergeCell ref="M19:N20"/>
    <mergeCell ref="M21:N22"/>
    <mergeCell ref="M23:N24"/>
    <mergeCell ref="G4:N7"/>
    <mergeCell ref="M9:N10"/>
    <mergeCell ref="M11:N12"/>
    <mergeCell ref="M13:N14"/>
    <mergeCell ref="M15:N16"/>
    <mergeCell ref="G9:G10"/>
    <mergeCell ref="G11:G12"/>
    <mergeCell ref="G13:G14"/>
    <mergeCell ref="G15:G16"/>
    <mergeCell ref="H9:L10"/>
    <mergeCell ref="H11:L12"/>
    <mergeCell ref="H13:L14"/>
  </mergeCells>
  <pageMargins left="0.7" right="0.7" top="0.75" bottom="0.75" header="0.3" footer="0.3"/>
  <ignoredErrors>
    <ignoredError sqref="F10 F12:F22 F2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1935-8388-4835-8468-C724B3784C4F}">
  <sheetPr codeName="Sheet3"/>
  <dimension ref="C6:Q22"/>
  <sheetViews>
    <sheetView showGridLines="0" showRowColHeaders="0" zoomScale="108" zoomScaleNormal="145" workbookViewId="0">
      <selection activeCell="N21" sqref="N21:Q22"/>
    </sheetView>
  </sheetViews>
  <sheetFormatPr defaultRowHeight="14.5" x14ac:dyDescent="0.35"/>
  <cols>
    <col min="4" max="4" width="6.54296875" customWidth="1"/>
  </cols>
  <sheetData>
    <row r="6" spans="3:17" ht="15" thickBot="1" x14ac:dyDescent="0.4"/>
    <row r="7" spans="3:17" ht="27" thickTop="1" thickBot="1" x14ac:dyDescent="0.4">
      <c r="C7" s="61" t="s">
        <v>15</v>
      </c>
      <c r="D7" s="61"/>
      <c r="E7" s="61" t="s">
        <v>8</v>
      </c>
      <c r="F7" s="61"/>
      <c r="G7" s="61"/>
      <c r="H7" s="61" t="s">
        <v>16</v>
      </c>
      <c r="I7" s="61"/>
      <c r="J7" s="61"/>
      <c r="K7" s="61"/>
      <c r="L7" s="61"/>
      <c r="M7" s="26"/>
      <c r="N7" s="61" t="s">
        <v>17</v>
      </c>
      <c r="O7" s="61"/>
      <c r="P7" s="61"/>
      <c r="Q7" s="61"/>
    </row>
    <row r="8" spans="3:17" ht="27" thickTop="1" thickBot="1" x14ac:dyDescent="0.4">
      <c r="C8" s="61"/>
      <c r="D8" s="61"/>
      <c r="E8" s="61"/>
      <c r="F8" s="61"/>
      <c r="G8" s="61"/>
      <c r="H8" s="61"/>
      <c r="I8" s="61"/>
      <c r="J8" s="61"/>
      <c r="K8" s="61"/>
      <c r="L8" s="61"/>
      <c r="M8" s="26"/>
      <c r="N8" s="61"/>
      <c r="O8" s="61"/>
      <c r="P8" s="61"/>
      <c r="Q8" s="61"/>
    </row>
    <row r="9" spans="3:17" ht="15.5" thickTop="1" thickBot="1" x14ac:dyDescent="0.4">
      <c r="C9" s="81"/>
      <c r="D9" s="81"/>
      <c r="E9" s="82"/>
      <c r="F9" s="82"/>
      <c r="G9" s="82"/>
      <c r="H9" s="83"/>
      <c r="I9" s="83"/>
      <c r="J9" s="83"/>
      <c r="K9" s="83"/>
      <c r="L9" s="83"/>
      <c r="M9" s="27"/>
      <c r="N9" s="84"/>
      <c r="O9" s="84"/>
      <c r="P9" s="84"/>
      <c r="Q9" s="84"/>
    </row>
    <row r="10" spans="3:17" ht="15.5" thickTop="1" thickBot="1" x14ac:dyDescent="0.4">
      <c r="C10" s="81"/>
      <c r="D10" s="81"/>
      <c r="E10" s="82"/>
      <c r="F10" s="82"/>
      <c r="G10" s="82"/>
      <c r="H10" s="83"/>
      <c r="I10" s="83"/>
      <c r="J10" s="83"/>
      <c r="K10" s="83"/>
      <c r="L10" s="83"/>
      <c r="M10" s="27"/>
      <c r="N10" s="84"/>
      <c r="O10" s="84"/>
      <c r="P10" s="84"/>
      <c r="Q10" s="84"/>
    </row>
    <row r="11" spans="3:17" ht="15.5" customHeight="1" thickTop="1" thickBot="1" x14ac:dyDescent="0.4">
      <c r="C11" s="81"/>
      <c r="D11" s="81"/>
      <c r="E11" s="82"/>
      <c r="F11" s="82"/>
      <c r="G11" s="82"/>
      <c r="H11" s="83"/>
      <c r="I11" s="83"/>
      <c r="J11" s="83"/>
      <c r="K11" s="83"/>
      <c r="L11" s="83"/>
      <c r="M11" s="27"/>
      <c r="N11" s="84"/>
      <c r="O11" s="84"/>
      <c r="P11" s="84"/>
      <c r="Q11" s="84"/>
    </row>
    <row r="12" spans="3:17" ht="15.5" customHeight="1" thickTop="1" thickBot="1" x14ac:dyDescent="0.4">
      <c r="C12" s="81"/>
      <c r="D12" s="81"/>
      <c r="E12" s="82"/>
      <c r="F12" s="82"/>
      <c r="G12" s="82"/>
      <c r="H12" s="83"/>
      <c r="I12" s="83"/>
      <c r="J12" s="83"/>
      <c r="K12" s="83"/>
      <c r="L12" s="83"/>
      <c r="M12" s="27"/>
      <c r="N12" s="84"/>
      <c r="O12" s="84"/>
      <c r="P12" s="84"/>
      <c r="Q12" s="84"/>
    </row>
    <row r="13" spans="3:17" ht="15.5" customHeight="1" thickTop="1" thickBot="1" x14ac:dyDescent="0.4">
      <c r="C13" s="81"/>
      <c r="D13" s="81"/>
      <c r="E13" s="82"/>
      <c r="F13" s="82"/>
      <c r="G13" s="82"/>
      <c r="H13" s="83"/>
      <c r="I13" s="83"/>
      <c r="J13" s="83"/>
      <c r="K13" s="83"/>
      <c r="L13" s="83"/>
      <c r="M13" s="27"/>
      <c r="N13" s="84"/>
      <c r="O13" s="84"/>
      <c r="P13" s="84"/>
      <c r="Q13" s="84"/>
    </row>
    <row r="14" spans="3:17" ht="15.5" customHeight="1" thickTop="1" thickBot="1" x14ac:dyDescent="0.4">
      <c r="C14" s="81"/>
      <c r="D14" s="81"/>
      <c r="E14" s="82"/>
      <c r="F14" s="82"/>
      <c r="G14" s="82"/>
      <c r="H14" s="83"/>
      <c r="I14" s="83"/>
      <c r="J14" s="83"/>
      <c r="K14" s="83"/>
      <c r="L14" s="83"/>
      <c r="M14" s="27"/>
      <c r="N14" s="84"/>
      <c r="O14" s="84"/>
      <c r="P14" s="84"/>
      <c r="Q14" s="84"/>
    </row>
    <row r="15" spans="3:17" ht="15.5" customHeight="1" thickTop="1" thickBot="1" x14ac:dyDescent="0.4">
      <c r="C15" s="81"/>
      <c r="D15" s="81"/>
      <c r="E15" s="82"/>
      <c r="F15" s="82"/>
      <c r="G15" s="82"/>
      <c r="H15" s="83"/>
      <c r="I15" s="83"/>
      <c r="J15" s="83"/>
      <c r="K15" s="83"/>
      <c r="L15" s="83"/>
      <c r="M15" s="27"/>
      <c r="N15" s="84"/>
      <c r="O15" s="84"/>
      <c r="P15" s="84"/>
      <c r="Q15" s="84"/>
    </row>
    <row r="16" spans="3:17" ht="15.5" customHeight="1" thickTop="1" thickBot="1" x14ac:dyDescent="0.4">
      <c r="C16" s="81"/>
      <c r="D16" s="81"/>
      <c r="E16" s="82"/>
      <c r="F16" s="82"/>
      <c r="G16" s="82"/>
      <c r="H16" s="83"/>
      <c r="I16" s="83"/>
      <c r="J16" s="83"/>
      <c r="K16" s="83"/>
      <c r="L16" s="83"/>
      <c r="M16" s="27"/>
      <c r="N16" s="84"/>
      <c r="O16" s="84"/>
      <c r="P16" s="84"/>
      <c r="Q16" s="84"/>
    </row>
    <row r="17" spans="3:17" ht="15.5" customHeight="1" thickTop="1" thickBot="1" x14ac:dyDescent="0.4">
      <c r="C17" s="81"/>
      <c r="D17" s="81"/>
      <c r="E17" s="82"/>
      <c r="F17" s="82"/>
      <c r="G17" s="82"/>
      <c r="H17" s="83"/>
      <c r="I17" s="83"/>
      <c r="J17" s="83"/>
      <c r="K17" s="83"/>
      <c r="L17" s="83"/>
      <c r="M17" s="27"/>
      <c r="N17" s="84"/>
      <c r="O17" s="84"/>
      <c r="P17" s="84"/>
      <c r="Q17" s="84"/>
    </row>
    <row r="18" spans="3:17" ht="15.5" customHeight="1" thickTop="1" thickBot="1" x14ac:dyDescent="0.4">
      <c r="C18" s="81"/>
      <c r="D18" s="81"/>
      <c r="E18" s="82"/>
      <c r="F18" s="82"/>
      <c r="G18" s="82"/>
      <c r="H18" s="83"/>
      <c r="I18" s="83"/>
      <c r="J18" s="83"/>
      <c r="K18" s="83"/>
      <c r="L18" s="83"/>
      <c r="M18" s="27"/>
      <c r="N18" s="84"/>
      <c r="O18" s="84"/>
      <c r="P18" s="84"/>
      <c r="Q18" s="84"/>
    </row>
    <row r="19" spans="3:17" ht="15" thickTop="1" x14ac:dyDescent="0.35">
      <c r="N19" s="60"/>
      <c r="O19" s="60"/>
      <c r="P19" s="60"/>
      <c r="Q19" s="60"/>
    </row>
    <row r="20" spans="3:17" x14ac:dyDescent="0.35">
      <c r="N20" s="60"/>
      <c r="O20" s="60"/>
      <c r="P20" s="60"/>
      <c r="Q20" s="60"/>
    </row>
    <row r="21" spans="3:17" x14ac:dyDescent="0.35">
      <c r="N21" s="60"/>
      <c r="O21" s="60"/>
      <c r="P21" s="60"/>
      <c r="Q21" s="60"/>
    </row>
    <row r="22" spans="3:17" x14ac:dyDescent="0.35">
      <c r="N22" s="60"/>
      <c r="O22" s="60"/>
      <c r="P22" s="60"/>
      <c r="Q22" s="60"/>
    </row>
  </sheetData>
  <sheetProtection algorithmName="SHA-512" hashValue="sRn26AaAxrhdnb02YfAo4ppdTiqrmEYC8lDAGHlH3CaeMnMOrYwMtPZVuDrERhDd0Bb+Nm921BvCpmSNbN/3KA==" saltValue="oDQsobI/LbowxNJysrzbxQ==" spinCount="100000" sheet="1" objects="1" scenarios="1"/>
  <mergeCells count="26">
    <mergeCell ref="N7:Q8"/>
    <mergeCell ref="N9:Q10"/>
    <mergeCell ref="N15:Q16"/>
    <mergeCell ref="C7:D8"/>
    <mergeCell ref="E7:G8"/>
    <mergeCell ref="H7:L8"/>
    <mergeCell ref="C9:D10"/>
    <mergeCell ref="E9:G10"/>
    <mergeCell ref="H9:L10"/>
    <mergeCell ref="C11:D12"/>
    <mergeCell ref="E11:G12"/>
    <mergeCell ref="C13:D14"/>
    <mergeCell ref="E13:G14"/>
    <mergeCell ref="N11:Q12"/>
    <mergeCell ref="N13:Q14"/>
    <mergeCell ref="H11:L12"/>
    <mergeCell ref="H13:L14"/>
    <mergeCell ref="N21:Q22"/>
    <mergeCell ref="C15:D16"/>
    <mergeCell ref="E15:G16"/>
    <mergeCell ref="C17:D18"/>
    <mergeCell ref="E17:G18"/>
    <mergeCell ref="H15:L16"/>
    <mergeCell ref="H17:L18"/>
    <mergeCell ref="N19:Q20"/>
    <mergeCell ref="N17:Q18"/>
  </mergeCells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C789-2059-4F20-A88C-F9E178E3719C}">
  <sheetPr codeName="Sheet4"/>
  <dimension ref="B1:O25"/>
  <sheetViews>
    <sheetView showGridLines="0" showRowColHeaders="0" zoomScale="125" zoomScaleNormal="205" workbookViewId="0">
      <pane ySplit="1" topLeftCell="A2" activePane="bottomLeft" state="frozen"/>
      <selection pane="bottomLeft" activeCell="G4" sqref="G4"/>
    </sheetView>
  </sheetViews>
  <sheetFormatPr defaultColWidth="8.7265625" defaultRowHeight="0" customHeight="1" zeroHeight="1" x14ac:dyDescent="0.35"/>
  <cols>
    <col min="1" max="2" width="8.7265625" style="1" customWidth="1"/>
    <col min="3" max="3" width="31.54296875" style="1" customWidth="1"/>
    <col min="4" max="4" width="7.453125" style="1" customWidth="1"/>
    <col min="5" max="5" width="17.90625" style="1" customWidth="1"/>
    <col min="6" max="6" width="7.36328125" style="1" customWidth="1"/>
    <col min="7" max="7" width="18.26953125" style="1" customWidth="1"/>
    <col min="8" max="8" width="5.08984375" style="1" customWidth="1"/>
    <col min="9" max="19" width="8.7265625" style="1" customWidth="1"/>
    <col min="20" max="16384" width="8.7265625" style="1"/>
  </cols>
  <sheetData>
    <row r="1" spans="2:15" ht="41" customHeight="1" x14ac:dyDescent="0.35"/>
    <row r="2" spans="2:15" ht="18.5" x14ac:dyDescent="0.45">
      <c r="B2" s="8"/>
      <c r="C2" s="8"/>
      <c r="D2" s="8"/>
    </row>
    <row r="3" spans="2:15" ht="18.5" x14ac:dyDescent="0.45">
      <c r="B3" s="10" t="s">
        <v>2</v>
      </c>
      <c r="C3" s="10"/>
      <c r="D3" s="10"/>
    </row>
    <row r="4" spans="2:15" ht="25.5" customHeight="1" x14ac:dyDescent="0.35">
      <c r="B4" s="62"/>
      <c r="C4" s="63"/>
      <c r="D4" s="11"/>
      <c r="E4" s="3"/>
      <c r="F4" s="23"/>
      <c r="G4" s="23"/>
      <c r="H4" s="5"/>
      <c r="I4" s="5"/>
      <c r="J4" s="5"/>
      <c r="K4" s="5"/>
      <c r="L4" s="5"/>
      <c r="M4" s="5"/>
    </row>
    <row r="5" spans="2:15" ht="13.5" customHeight="1" thickBot="1" x14ac:dyDescent="0.4">
      <c r="B5" s="11"/>
      <c r="C5" s="11"/>
      <c r="D5" s="11"/>
      <c r="E5" s="3"/>
      <c r="F5" s="5"/>
      <c r="G5" s="5"/>
      <c r="H5" s="18"/>
      <c r="I5" s="18"/>
      <c r="J5" s="18"/>
      <c r="K5" s="18"/>
      <c r="L5" s="18"/>
      <c r="M5" s="18"/>
    </row>
    <row r="6" spans="2:15" ht="20" customHeight="1" thickTop="1" thickBot="1" x14ac:dyDescent="0.4">
      <c r="B6" s="72" t="s">
        <v>0</v>
      </c>
      <c r="C6" s="64" t="s">
        <v>3</v>
      </c>
      <c r="D6" s="70" t="s">
        <v>1</v>
      </c>
      <c r="E6" s="71"/>
      <c r="F6" s="70" t="s">
        <v>7</v>
      </c>
      <c r="G6" s="71"/>
      <c r="H6" s="19"/>
      <c r="I6" s="18"/>
      <c r="J6" s="18"/>
      <c r="K6" s="18"/>
      <c r="L6" s="18"/>
      <c r="M6" s="18"/>
    </row>
    <row r="7" spans="2:15" ht="16" customHeight="1" thickTop="1" thickBot="1" x14ac:dyDescent="0.4">
      <c r="B7" s="73"/>
      <c r="C7" s="64"/>
      <c r="D7" s="13" t="s">
        <v>15</v>
      </c>
      <c r="E7" s="14" t="s">
        <v>8</v>
      </c>
      <c r="F7" s="14" t="s">
        <v>15</v>
      </c>
      <c r="G7" s="14" t="s">
        <v>8</v>
      </c>
      <c r="H7" s="19"/>
      <c r="I7" s="18"/>
      <c r="J7" s="18"/>
      <c r="K7" s="18"/>
      <c r="L7" s="18"/>
      <c r="M7" s="18"/>
      <c r="N7" s="4"/>
      <c r="O7" s="4"/>
    </row>
    <row r="8" spans="2:15" ht="16.5" customHeight="1" thickTop="1" thickBot="1" x14ac:dyDescent="0.5">
      <c r="B8" s="68">
        <v>1</v>
      </c>
      <c r="C8" s="67"/>
      <c r="D8" s="66"/>
      <c r="E8" s="65">
        <f>FORMULA!I6</f>
        <v>0</v>
      </c>
      <c r="F8" s="66"/>
      <c r="G8" s="65">
        <f>FORMULA!I14</f>
        <v>0</v>
      </c>
      <c r="H8" s="15"/>
      <c r="I8" s="16" t="s">
        <v>4</v>
      </c>
      <c r="J8" s="16"/>
      <c r="K8" s="20"/>
      <c r="L8" s="20"/>
      <c r="M8" s="20"/>
      <c r="N8" s="12"/>
      <c r="O8" s="12"/>
    </row>
    <row r="9" spans="2:15" ht="15.5" customHeight="1" thickTop="1" thickBot="1" x14ac:dyDescent="0.5">
      <c r="B9" s="69"/>
      <c r="C9" s="67"/>
      <c r="D9" s="66"/>
      <c r="E9" s="65"/>
      <c r="F9" s="66"/>
      <c r="G9" s="65"/>
      <c r="H9" s="15"/>
      <c r="I9" s="17" t="s">
        <v>6</v>
      </c>
      <c r="J9" s="17"/>
      <c r="K9" s="21"/>
      <c r="L9" s="22"/>
      <c r="M9" s="22"/>
      <c r="N9" s="12" t="str">
        <f>IF(G9&lt;&gt;"","KETUA","")</f>
        <v/>
      </c>
      <c r="O9" s="12"/>
    </row>
    <row r="10" spans="2:15" ht="15.5" customHeight="1" thickTop="1" thickBot="1" x14ac:dyDescent="0.5">
      <c r="B10" s="68">
        <v>2</v>
      </c>
      <c r="C10" s="67"/>
      <c r="D10" s="66"/>
      <c r="E10" s="65">
        <f>FORMULA!I7</f>
        <v>0</v>
      </c>
      <c r="F10" s="66"/>
      <c r="G10" s="65">
        <f>FORMULA!I15</f>
        <v>0</v>
      </c>
      <c r="H10" s="15"/>
      <c r="I10" s="17" t="s">
        <v>5</v>
      </c>
      <c r="J10" s="17"/>
      <c r="K10" s="21"/>
      <c r="L10" s="22"/>
      <c r="M10" s="22"/>
      <c r="N10" s="12"/>
      <c r="O10" s="12"/>
    </row>
    <row r="11" spans="2:15" ht="15.5" customHeight="1" thickTop="1" thickBot="1" x14ac:dyDescent="0.5">
      <c r="B11" s="69"/>
      <c r="C11" s="67"/>
      <c r="D11" s="66"/>
      <c r="E11" s="65"/>
      <c r="F11" s="66"/>
      <c r="G11" s="65"/>
      <c r="H11" s="15"/>
      <c r="I11" s="21"/>
      <c r="J11" s="21"/>
      <c r="K11" s="21"/>
      <c r="L11" s="22"/>
      <c r="M11" s="22"/>
      <c r="N11" s="12" t="str">
        <f>IF(G11&lt;&gt;"","ANGGOTA","")</f>
        <v/>
      </c>
      <c r="O11" s="12"/>
    </row>
    <row r="12" spans="2:15" ht="15.5" customHeight="1" thickTop="1" thickBot="1" x14ac:dyDescent="0.5">
      <c r="B12" s="68">
        <v>3</v>
      </c>
      <c r="C12" s="67"/>
      <c r="D12" s="66"/>
      <c r="E12" s="65">
        <f>FORMULA!I8</f>
        <v>0</v>
      </c>
      <c r="F12" s="66"/>
      <c r="G12" s="65">
        <f>FORMULA!I16</f>
        <v>0</v>
      </c>
      <c r="H12" s="15"/>
      <c r="I12" s="21"/>
      <c r="J12" s="21"/>
      <c r="K12" s="21"/>
      <c r="L12" s="22"/>
      <c r="M12" s="22"/>
      <c r="N12" s="12"/>
      <c r="O12" s="12"/>
    </row>
    <row r="13" spans="2:15" ht="15.5" customHeight="1" thickTop="1" thickBot="1" x14ac:dyDescent="0.5">
      <c r="B13" s="69"/>
      <c r="C13" s="67"/>
      <c r="D13" s="66"/>
      <c r="E13" s="65"/>
      <c r="F13" s="66"/>
      <c r="G13" s="65"/>
      <c r="H13" s="15"/>
      <c r="I13" s="21"/>
      <c r="J13" s="21"/>
      <c r="K13" s="21"/>
      <c r="L13" s="22"/>
      <c r="M13" s="22"/>
      <c r="N13" s="12" t="str">
        <f>IF(G13&lt;&gt;"","ANGGOTA","")</f>
        <v/>
      </c>
      <c r="O13" s="12"/>
    </row>
    <row r="14" spans="2:15" ht="15.5" customHeight="1" thickTop="1" thickBot="1" x14ac:dyDescent="0.5">
      <c r="B14" s="68">
        <v>4</v>
      </c>
      <c r="C14" s="67"/>
      <c r="D14" s="66"/>
      <c r="E14" s="65">
        <f>FORMULA!I9</f>
        <v>0</v>
      </c>
      <c r="F14" s="66"/>
      <c r="G14" s="65">
        <f>FORMULA!I17</f>
        <v>0</v>
      </c>
      <c r="H14" s="15"/>
      <c r="I14" s="21"/>
      <c r="J14" s="21"/>
      <c r="K14" s="21"/>
      <c r="L14" s="22"/>
      <c r="M14" s="22"/>
      <c r="N14" s="12"/>
      <c r="O14" s="12"/>
    </row>
    <row r="15" spans="2:15" ht="15.5" customHeight="1" thickTop="1" thickBot="1" x14ac:dyDescent="0.5">
      <c r="B15" s="69"/>
      <c r="C15" s="67"/>
      <c r="D15" s="66"/>
      <c r="E15" s="65"/>
      <c r="F15" s="66"/>
      <c r="G15" s="65"/>
      <c r="H15" s="15"/>
      <c r="I15" s="21"/>
      <c r="J15" s="21"/>
      <c r="K15" s="21"/>
      <c r="L15" s="22"/>
      <c r="M15" s="22"/>
      <c r="N15" s="12" t="str">
        <f>IF(G15&lt;&gt;"","ANGGOTA","")</f>
        <v/>
      </c>
      <c r="O15" s="12"/>
    </row>
    <row r="16" spans="2:15" ht="15.5" customHeight="1" thickTop="1" thickBot="1" x14ac:dyDescent="0.5">
      <c r="B16" s="68">
        <v>5</v>
      </c>
      <c r="C16" s="67"/>
      <c r="D16" s="66"/>
      <c r="E16" s="65">
        <f>FORMULA!I10</f>
        <v>0</v>
      </c>
      <c r="F16" s="66"/>
      <c r="G16" s="65">
        <f>FORMULA!I18</f>
        <v>0</v>
      </c>
      <c r="H16" s="15"/>
      <c r="I16" s="21"/>
      <c r="J16" s="21"/>
      <c r="K16" s="21"/>
      <c r="L16" s="22"/>
      <c r="M16" s="22"/>
      <c r="N16" s="12"/>
      <c r="O16" s="12"/>
    </row>
    <row r="17" spans="2:15" ht="15.5" customHeight="1" thickTop="1" thickBot="1" x14ac:dyDescent="0.5">
      <c r="B17" s="69"/>
      <c r="C17" s="67"/>
      <c r="D17" s="66"/>
      <c r="E17" s="65"/>
      <c r="F17" s="66"/>
      <c r="G17" s="65"/>
      <c r="H17" s="15"/>
      <c r="I17" s="21"/>
      <c r="J17" s="21"/>
      <c r="K17" s="21"/>
      <c r="L17" s="22"/>
      <c r="M17" s="22"/>
      <c r="N17" s="12" t="str">
        <f>IF(G17&lt;&gt;"","ANGGOTA","")</f>
        <v/>
      </c>
      <c r="O17" s="12"/>
    </row>
    <row r="18" spans="2:15" ht="15" thickTop="1" x14ac:dyDescent="0.35"/>
    <row r="19" spans="2:15" ht="14.5" x14ac:dyDescent="0.35"/>
    <row r="20" spans="2:15" ht="18" customHeight="1" x14ac:dyDescent="0.35"/>
    <row r="21" spans="2:15" ht="10" customHeight="1" x14ac:dyDescent="0.35"/>
    <row r="22" spans="2:15" ht="11" customHeight="1" x14ac:dyDescent="0.35"/>
    <row r="23" spans="2:15" ht="14.5" customHeight="1" x14ac:dyDescent="0.35"/>
    <row r="24" spans="2:15" ht="14.5" customHeight="1" x14ac:dyDescent="0.35"/>
    <row r="25" spans="2:15" ht="14.5" customHeight="1" x14ac:dyDescent="0.35"/>
  </sheetData>
  <sheetProtection algorithmName="SHA-512" hashValue="spYumx9yLP+SweCBCNBq2LG4CriPAC8vUAcXr6WS8sY/MPjd+789VyJkLNjCp5lmqu59nr2IufXBVxiz3We6yg==" saltValue="br/1hWpx42CVp/ZataJqeg==" spinCount="100000" sheet="1" objects="1" scenarios="1"/>
  <mergeCells count="35">
    <mergeCell ref="G14:G15"/>
    <mergeCell ref="E16:E17"/>
    <mergeCell ref="F16:F17"/>
    <mergeCell ref="G16:G17"/>
    <mergeCell ref="D14:D15"/>
    <mergeCell ref="G10:G11"/>
    <mergeCell ref="D6:E6"/>
    <mergeCell ref="F6:G6"/>
    <mergeCell ref="G8:G9"/>
    <mergeCell ref="B12:B13"/>
    <mergeCell ref="E12:E13"/>
    <mergeCell ref="F12:F13"/>
    <mergeCell ref="G12:G13"/>
    <mergeCell ref="B8:B9"/>
    <mergeCell ref="D12:D13"/>
    <mergeCell ref="B6:B7"/>
    <mergeCell ref="B10:B11"/>
    <mergeCell ref="E8:E9"/>
    <mergeCell ref="F8:F9"/>
    <mergeCell ref="B4:C4"/>
    <mergeCell ref="C6:C7"/>
    <mergeCell ref="E10:E11"/>
    <mergeCell ref="F10:F11"/>
    <mergeCell ref="D16:D17"/>
    <mergeCell ref="C8:C9"/>
    <mergeCell ref="C10:C11"/>
    <mergeCell ref="C12:C13"/>
    <mergeCell ref="C14:C15"/>
    <mergeCell ref="C16:C17"/>
    <mergeCell ref="D8:D9"/>
    <mergeCell ref="D10:D11"/>
    <mergeCell ref="B14:B15"/>
    <mergeCell ref="B16:B17"/>
    <mergeCell ref="E14:E15"/>
    <mergeCell ref="F14:F15"/>
  </mergeCells>
  <phoneticPr fontId="14" type="noConversion"/>
  <dataValidations count="1">
    <dataValidation type="list" allowBlank="1" showInputMessage="1" showErrorMessage="1" sqref="I15" xr:uid="{9AB04358-369B-449E-B917-50F5FE507F27}">
      <formula1>$I$8:$I$11</formula1>
    </dataValidation>
  </dataValidation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A216A0-E346-4B5C-AE7A-AD44DBFD2B39}">
          <x14:formula1>
            <xm:f>FORMULA!$D$6:$D$10</xm:f>
          </x14:formula1>
          <xm:sqref>C8:C17</xm:sqref>
        </x14:dataValidation>
        <x14:dataValidation type="list" allowBlank="1" showInputMessage="1" showErrorMessage="1" xr:uid="{5017FE4C-1C28-47F4-8E53-B19A7871269E}">
          <x14:formula1>
            <xm:f>FORMULA!$B$6:$B$10</xm:f>
          </x14:formula1>
          <xm:sqref>D8:D17 F8:F17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BA1A-5D14-43B4-8B4E-8C7CF3C49CCB}">
  <sheetPr codeName="Sheet5"/>
  <dimension ref="A1:T29"/>
  <sheetViews>
    <sheetView showGridLines="0" showRowColHeaders="0" tabSelected="1" zoomScaleNormal="100" workbookViewId="0">
      <pane ySplit="1" topLeftCell="A2" activePane="bottomLeft" state="frozen"/>
      <selection pane="bottomLeft"/>
    </sheetView>
  </sheetViews>
  <sheetFormatPr defaultColWidth="0" defaultRowHeight="14.5" customHeight="1" zeroHeight="1" x14ac:dyDescent="0.35"/>
  <cols>
    <col min="1" max="20" width="8.7265625" style="1" customWidth="1"/>
    <col min="21" max="16384" width="8.7265625" style="1" hidden="1"/>
  </cols>
  <sheetData>
    <row r="1" spans="2:19" ht="40" customHeight="1" x14ac:dyDescent="0.35">
      <c r="E1" s="48"/>
    </row>
    <row r="2" spans="2:19" ht="18.5" x14ac:dyDescent="0.45">
      <c r="B2" s="8"/>
      <c r="C2" s="8"/>
      <c r="D2" s="8"/>
      <c r="E2" s="8"/>
    </row>
    <row r="3" spans="2:19" ht="18.5" x14ac:dyDescent="0.45">
      <c r="B3" s="10"/>
      <c r="C3" s="10"/>
      <c r="D3" s="10"/>
      <c r="E3" s="10"/>
    </row>
    <row r="4" spans="2:19" ht="15.5" customHeight="1" x14ac:dyDescent="0.35">
      <c r="B4" s="9"/>
      <c r="C4" s="9"/>
      <c r="D4" s="9"/>
      <c r="E4" s="9"/>
      <c r="F4" s="3"/>
      <c r="G4" s="5"/>
      <c r="H4" s="5"/>
      <c r="I4" s="5"/>
      <c r="J4" s="5"/>
      <c r="K4" s="5"/>
      <c r="L4" s="5"/>
      <c r="M4" s="5"/>
      <c r="N4" s="5"/>
    </row>
    <row r="5" spans="2:19" ht="15.5" customHeight="1" x14ac:dyDescent="0.35">
      <c r="B5" s="9"/>
      <c r="C5" s="9"/>
      <c r="D5" s="9"/>
      <c r="E5" s="9"/>
      <c r="F5" s="3"/>
      <c r="G5" s="5"/>
      <c r="H5" s="5"/>
      <c r="I5" s="5"/>
      <c r="J5" s="5"/>
      <c r="K5" s="5"/>
      <c r="L5" s="5"/>
      <c r="M5" s="5"/>
      <c r="N5" s="37"/>
      <c r="O5" s="37"/>
      <c r="P5" s="37"/>
      <c r="Q5" s="37"/>
      <c r="R5" s="37"/>
      <c r="S5" s="37"/>
    </row>
    <row r="6" spans="2:19" ht="15.5" customHeight="1" x14ac:dyDescent="0.35">
      <c r="B6" s="3"/>
      <c r="C6" s="3"/>
      <c r="D6" s="3"/>
      <c r="E6" s="3"/>
      <c r="F6" s="3"/>
      <c r="G6" s="5"/>
      <c r="H6" s="5"/>
      <c r="I6" s="5"/>
      <c r="J6" s="5"/>
      <c r="K6" s="5"/>
      <c r="L6" s="5"/>
      <c r="M6" s="5"/>
      <c r="N6" s="37"/>
      <c r="O6" s="37"/>
      <c r="P6" s="37"/>
      <c r="Q6" s="37"/>
      <c r="R6" s="37"/>
      <c r="S6" s="37"/>
    </row>
    <row r="7" spans="2:19" ht="15.5" customHeight="1" x14ac:dyDescent="0.35">
      <c r="B7" s="3"/>
      <c r="C7" s="75"/>
      <c r="D7" s="75"/>
      <c r="E7" s="3"/>
      <c r="F7" s="3"/>
      <c r="G7" s="5"/>
      <c r="H7" s="5"/>
      <c r="I7" s="5"/>
      <c r="J7" s="5"/>
      <c r="K7" s="5"/>
      <c r="L7" s="5"/>
      <c r="M7" s="5"/>
      <c r="N7" s="37"/>
      <c r="O7" s="37"/>
      <c r="P7" s="37"/>
      <c r="Q7" s="37"/>
      <c r="R7" s="37"/>
      <c r="S7" s="37"/>
    </row>
    <row r="8" spans="2:19" ht="15.5" customHeight="1" x14ac:dyDescent="0.35">
      <c r="G8" s="4"/>
      <c r="H8" s="4"/>
      <c r="I8" s="4"/>
      <c r="J8" s="4"/>
      <c r="K8" s="4"/>
      <c r="L8" s="4"/>
      <c r="M8" s="4"/>
      <c r="N8" s="74" t="str">
        <f>IF(H11&lt;&gt;"","ANGGOTA","")</f>
        <v/>
      </c>
      <c r="O8" s="74"/>
      <c r="P8" s="74"/>
      <c r="Q8" s="74"/>
      <c r="R8" s="74"/>
      <c r="S8" s="74"/>
    </row>
    <row r="9" spans="2:19" ht="15.5" customHeight="1" x14ac:dyDescent="0.35">
      <c r="F9" s="2"/>
      <c r="G9" s="3"/>
      <c r="H9" s="6"/>
      <c r="I9" s="6"/>
      <c r="J9" s="6"/>
      <c r="K9" s="6"/>
      <c r="L9" s="6"/>
      <c r="M9" s="7"/>
      <c r="N9" s="74"/>
      <c r="O9" s="74"/>
      <c r="P9" s="74"/>
      <c r="Q9" s="74"/>
      <c r="R9" s="74"/>
      <c r="S9" s="74"/>
    </row>
    <row r="10" spans="2:19" ht="15.5" customHeight="1" x14ac:dyDescent="0.35">
      <c r="F10" s="2"/>
      <c r="G10" s="3"/>
      <c r="H10" s="6"/>
      <c r="I10" s="6"/>
      <c r="J10" s="6"/>
      <c r="K10" s="6"/>
      <c r="L10" s="6"/>
      <c r="M10" s="7"/>
      <c r="N10" s="74"/>
      <c r="O10" s="74"/>
      <c r="P10" s="74"/>
      <c r="Q10" s="74"/>
      <c r="R10" s="74"/>
      <c r="S10" s="74"/>
    </row>
    <row r="11" spans="2:19" ht="15.5" customHeight="1" x14ac:dyDescent="0.35">
      <c r="F11" s="2"/>
      <c r="G11" s="3"/>
      <c r="H11" s="6"/>
      <c r="I11" s="6"/>
      <c r="J11" s="6"/>
      <c r="K11" s="6"/>
      <c r="L11" s="6"/>
      <c r="M11" s="7"/>
      <c r="N11" s="74"/>
      <c r="O11" s="74"/>
      <c r="P11" s="74"/>
      <c r="Q11" s="74"/>
      <c r="R11" s="74"/>
      <c r="S11" s="74"/>
    </row>
    <row r="12" spans="2:19" ht="15.5" customHeight="1" x14ac:dyDescent="0.35">
      <c r="F12" s="2"/>
      <c r="G12" s="3"/>
      <c r="H12" s="6"/>
      <c r="I12" s="6"/>
      <c r="J12" s="6"/>
      <c r="K12" s="6"/>
      <c r="L12" s="6"/>
      <c r="M12" s="7"/>
      <c r="N12" s="74"/>
      <c r="O12" s="74"/>
      <c r="P12" s="74"/>
      <c r="Q12" s="74"/>
      <c r="R12" s="74"/>
      <c r="S12" s="74"/>
    </row>
    <row r="13" spans="2:19" ht="15.5" customHeight="1" x14ac:dyDescent="0.35">
      <c r="F13" s="2"/>
      <c r="G13" s="3"/>
      <c r="H13" s="6"/>
      <c r="I13" s="6"/>
      <c r="J13" s="6"/>
      <c r="K13" s="6"/>
      <c r="L13" s="6"/>
      <c r="M13" s="7"/>
      <c r="N13" s="74"/>
      <c r="O13" s="74"/>
      <c r="P13" s="74"/>
      <c r="Q13" s="74"/>
      <c r="R13" s="74"/>
      <c r="S13" s="74"/>
    </row>
    <row r="14" spans="2:19" ht="15.5" customHeight="1" x14ac:dyDescent="0.35">
      <c r="F14" s="2"/>
      <c r="G14" s="3"/>
      <c r="H14" s="6"/>
      <c r="I14" s="6"/>
      <c r="J14" s="6"/>
      <c r="K14" s="6"/>
      <c r="L14" s="6"/>
      <c r="M14" s="7"/>
      <c r="N14" s="7"/>
      <c r="O14" s="2"/>
    </row>
    <row r="15" spans="2:19" ht="15.5" customHeight="1" x14ac:dyDescent="0.35">
      <c r="F15" s="2"/>
      <c r="G15" s="3"/>
      <c r="H15" s="6"/>
      <c r="I15" s="6"/>
      <c r="J15" s="6"/>
      <c r="K15" s="6"/>
      <c r="L15" s="6"/>
      <c r="M15" s="7"/>
      <c r="N15" s="37"/>
      <c r="O15" s="37"/>
      <c r="P15" s="37"/>
      <c r="Q15" s="37"/>
      <c r="R15" s="37"/>
      <c r="S15" s="37"/>
    </row>
    <row r="16" spans="2:19" ht="15.5" customHeight="1" x14ac:dyDescent="0.35">
      <c r="F16" s="2"/>
      <c r="G16" s="3"/>
      <c r="H16" s="6"/>
      <c r="I16" s="6"/>
      <c r="J16" s="6"/>
      <c r="K16" s="6"/>
      <c r="L16" s="6"/>
      <c r="M16" s="7"/>
      <c r="N16" s="37"/>
      <c r="O16" s="37"/>
      <c r="P16" s="37"/>
      <c r="Q16" s="37"/>
      <c r="R16" s="37"/>
      <c r="S16" s="37"/>
    </row>
    <row r="17" spans="2:19" ht="15.5" customHeight="1" x14ac:dyDescent="0.35">
      <c r="F17" s="2"/>
      <c r="G17" s="3"/>
      <c r="H17" s="6"/>
      <c r="I17" s="6"/>
      <c r="J17" s="6"/>
      <c r="K17" s="6"/>
      <c r="L17" s="6"/>
      <c r="M17" s="7"/>
      <c r="N17" s="74" t="str">
        <f>IF(H21&lt;&gt;"","ANGGOTA","")</f>
        <v/>
      </c>
      <c r="O17" s="74"/>
      <c r="P17" s="74"/>
      <c r="Q17" s="74"/>
      <c r="R17" s="74"/>
      <c r="S17" s="74"/>
    </row>
    <row r="18" spans="2:19" ht="15.5" customHeight="1" x14ac:dyDescent="0.35">
      <c r="F18" s="2"/>
      <c r="G18" s="3"/>
      <c r="H18" s="6"/>
      <c r="I18" s="6"/>
      <c r="J18" s="6"/>
      <c r="K18" s="6"/>
      <c r="L18" s="6"/>
      <c r="M18" s="7"/>
      <c r="N18" s="74"/>
      <c r="O18" s="74"/>
      <c r="P18" s="74"/>
      <c r="Q18" s="74"/>
      <c r="R18" s="74"/>
      <c r="S18" s="74"/>
    </row>
    <row r="19" spans="2:19" ht="15.5" customHeight="1" x14ac:dyDescent="0.35">
      <c r="F19" s="2"/>
      <c r="G19" s="3"/>
      <c r="H19" s="6"/>
      <c r="I19" s="6"/>
      <c r="J19" s="6"/>
      <c r="K19" s="6"/>
      <c r="L19" s="6"/>
      <c r="M19" s="7"/>
      <c r="N19" s="74"/>
      <c r="O19" s="74"/>
      <c r="P19" s="74"/>
      <c r="Q19" s="74"/>
      <c r="R19" s="74"/>
      <c r="S19" s="74"/>
    </row>
    <row r="20" spans="2:19" ht="15.5" customHeight="1" x14ac:dyDescent="0.35">
      <c r="F20" s="2"/>
      <c r="G20" s="3"/>
      <c r="H20" s="6"/>
      <c r="I20" s="6"/>
      <c r="J20" s="6"/>
      <c r="K20" s="6"/>
      <c r="L20" s="6"/>
      <c r="M20" s="7"/>
      <c r="N20" s="74"/>
      <c r="O20" s="74"/>
      <c r="P20" s="74"/>
      <c r="Q20" s="74"/>
      <c r="R20" s="74"/>
      <c r="S20" s="74"/>
    </row>
    <row r="21" spans="2:19" ht="15.5" customHeight="1" x14ac:dyDescent="0.35">
      <c r="F21" s="2"/>
      <c r="G21" s="3"/>
      <c r="H21" s="6"/>
      <c r="I21" s="6"/>
      <c r="J21" s="6"/>
      <c r="K21" s="6"/>
      <c r="L21" s="6"/>
      <c r="M21" s="7"/>
      <c r="N21" s="74"/>
      <c r="O21" s="74"/>
      <c r="P21" s="74"/>
      <c r="Q21" s="74"/>
      <c r="R21" s="74"/>
      <c r="S21" s="74"/>
    </row>
    <row r="22" spans="2:19" ht="15.5" customHeight="1" x14ac:dyDescent="0.35">
      <c r="F22" s="2"/>
      <c r="G22" s="3"/>
      <c r="H22" s="6"/>
      <c r="I22" s="6"/>
      <c r="J22" s="6"/>
      <c r="K22" s="6"/>
      <c r="L22" s="6"/>
      <c r="M22" s="7"/>
      <c r="N22" s="74"/>
      <c r="O22" s="74"/>
      <c r="P22" s="74"/>
      <c r="Q22" s="74"/>
      <c r="R22" s="74"/>
      <c r="S22" s="74"/>
    </row>
    <row r="23" spans="2:19" ht="15.5" customHeight="1" x14ac:dyDescent="0.35">
      <c r="F23" s="2"/>
      <c r="G23" s="3"/>
      <c r="H23" s="6"/>
      <c r="I23" s="6"/>
      <c r="J23" s="6"/>
      <c r="K23" s="6"/>
      <c r="L23" s="6"/>
      <c r="M23" s="7"/>
      <c r="N23" s="7"/>
      <c r="O23" s="2" t="str">
        <f>IF(H23&lt;&gt;"","ANGGOTA","")</f>
        <v/>
      </c>
    </row>
    <row r="24" spans="2:19" ht="15.5" customHeight="1" x14ac:dyDescent="0.35">
      <c r="F24" s="2"/>
      <c r="G24" s="3"/>
      <c r="H24" s="6"/>
      <c r="I24" s="6"/>
      <c r="J24" s="6"/>
      <c r="K24" s="6"/>
      <c r="L24" s="6"/>
      <c r="M24" s="7"/>
      <c r="N24" s="7"/>
      <c r="O24" s="2"/>
    </row>
    <row r="25" spans="2:19" x14ac:dyDescent="0.35"/>
    <row r="26" spans="2:19" x14ac:dyDescent="0.35"/>
    <row r="27" spans="2:19" x14ac:dyDescent="0.35">
      <c r="B27" s="2" t="str">
        <f>IF(G4&lt;&gt;"","","TULIS NAMA KELOMPOK")</f>
        <v>TULIS NAMA KELOMPOK</v>
      </c>
    </row>
    <row r="28" spans="2:19" x14ac:dyDescent="0.35"/>
    <row r="29" spans="2:19" x14ac:dyDescent="0.35"/>
  </sheetData>
  <sheetProtection algorithmName="SHA-512" hashValue="bh7k93VcCaijhAtLe/wMQjPCMQGueNF2MwjH+/wc86zcrkVPynOyCaA15UTnUvmGrdwjlq9RLv25BsB94gZs0Q==" saltValue="oG/E7oWRgnFARbJTL2jqLA==" spinCount="100000" sheet="1" objects="1" scenarios="1"/>
  <mergeCells count="3">
    <mergeCell ref="N17:S22"/>
    <mergeCell ref="N8:S13"/>
    <mergeCell ref="C7:D7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7BB2-BFCC-4B74-B479-B38E481F3EBD}">
  <sheetPr codeName="Sheet6"/>
  <dimension ref="B3:M19"/>
  <sheetViews>
    <sheetView showGridLines="0" topLeftCell="D1" zoomScaleNormal="100" workbookViewId="0">
      <selection activeCell="N13" sqref="N13"/>
    </sheetView>
  </sheetViews>
  <sheetFormatPr defaultRowHeight="14.5" x14ac:dyDescent="0.35"/>
  <cols>
    <col min="1" max="1" width="14.81640625" customWidth="1"/>
    <col min="2" max="2" width="13" customWidth="1"/>
    <col min="3" max="3" width="23.54296875" customWidth="1"/>
    <col min="4" max="4" width="32" customWidth="1"/>
    <col min="6" max="6" width="6.453125" customWidth="1"/>
    <col min="7" max="7" width="24.7265625" customWidth="1"/>
    <col min="9" max="9" width="17.08984375" customWidth="1"/>
    <col min="11" max="11" width="12.26953125" customWidth="1"/>
  </cols>
  <sheetData>
    <row r="3" spans="2:13" ht="15" thickBot="1" x14ac:dyDescent="0.4"/>
    <row r="4" spans="2:13" ht="24.5" thickTop="1" thickBot="1" x14ac:dyDescent="0.4">
      <c r="B4" s="76" t="s">
        <v>9</v>
      </c>
      <c r="C4" s="76"/>
      <c r="D4" s="30" t="s">
        <v>14</v>
      </c>
      <c r="F4" s="77" t="s">
        <v>19</v>
      </c>
      <c r="G4" s="77"/>
      <c r="H4" s="77"/>
      <c r="I4" s="77"/>
    </row>
    <row r="5" spans="2:13" ht="19.5" thickTop="1" thickBot="1" x14ac:dyDescent="0.4">
      <c r="B5" s="28" t="s">
        <v>15</v>
      </c>
      <c r="C5" s="28" t="s">
        <v>13</v>
      </c>
      <c r="D5" s="28" t="s">
        <v>11</v>
      </c>
      <c r="F5" s="33"/>
      <c r="G5" s="28" t="s">
        <v>12</v>
      </c>
      <c r="H5" s="28" t="s">
        <v>10</v>
      </c>
      <c r="I5" s="28" t="s">
        <v>13</v>
      </c>
      <c r="K5" s="43" t="s">
        <v>25</v>
      </c>
      <c r="L5" s="41">
        <f>KETENTUAN!C9</f>
        <v>0</v>
      </c>
    </row>
    <row r="6" spans="2:13" ht="19.5" thickTop="1" thickBot="1" x14ac:dyDescent="0.4">
      <c r="B6" s="29">
        <f>KETENTUAN!C9</f>
        <v>0</v>
      </c>
      <c r="C6" s="29">
        <f>KETENTUAN!E9</f>
        <v>0</v>
      </c>
      <c r="D6" s="29">
        <f>KETENTUAN!N9</f>
        <v>0</v>
      </c>
      <c r="F6" s="34">
        <v>1</v>
      </c>
      <c r="G6" s="35">
        <f>INPUT!C8</f>
        <v>0</v>
      </c>
      <c r="H6" s="25">
        <f>INPUT!D8</f>
        <v>0</v>
      </c>
      <c r="I6" s="36">
        <f>IF(H6=$B$6,$C$6,IF(H6=$B$7,$C$7,IF(H6=$B$8,$C$8,IF(H6=$B$9,$C$9,IF(H6=$B$10,$C$10,"")))))</f>
        <v>0</v>
      </c>
      <c r="K6" s="38" t="s">
        <v>20</v>
      </c>
      <c r="L6" s="39">
        <f>MAX(H6:H10)</f>
        <v>0</v>
      </c>
    </row>
    <row r="7" spans="2:13" ht="19.5" thickTop="1" thickBot="1" x14ac:dyDescent="0.4">
      <c r="B7" s="29">
        <f>KETENTUAN!C11</f>
        <v>0</v>
      </c>
      <c r="C7" s="29">
        <f>KETENTUAN!E11</f>
        <v>0</v>
      </c>
      <c r="D7" s="29">
        <f>KETENTUAN!N11</f>
        <v>0</v>
      </c>
      <c r="F7" s="34">
        <v>2</v>
      </c>
      <c r="G7" s="35">
        <f>INPUT!C10</f>
        <v>0</v>
      </c>
      <c r="H7" s="25">
        <f>INPUT!D10</f>
        <v>0</v>
      </c>
      <c r="I7" s="36">
        <f>IF(H7=$B$6,$C$6,IF(H7=$B$7,$C$7,IF(H7=$B$8,$C$8,IF(H7=$B$9,$C$9,IF(H7=$B$10,$C$10,"")))))</f>
        <v>0</v>
      </c>
      <c r="K7" s="38" t="s">
        <v>21</v>
      </c>
      <c r="L7" s="39">
        <f>MIN(H6:H10)</f>
        <v>0</v>
      </c>
    </row>
    <row r="8" spans="2:13" ht="19.5" thickTop="1" thickBot="1" x14ac:dyDescent="0.4">
      <c r="B8" s="29">
        <f>KETENTUAN!C13</f>
        <v>0</v>
      </c>
      <c r="C8" s="29">
        <f>KETENTUAN!E13</f>
        <v>0</v>
      </c>
      <c r="D8" s="29">
        <f>KETENTUAN!N13</f>
        <v>0</v>
      </c>
      <c r="F8" s="34">
        <v>3</v>
      </c>
      <c r="G8" s="35">
        <f>INPUT!C12</f>
        <v>0</v>
      </c>
      <c r="H8" s="25">
        <f>INPUT!D12</f>
        <v>0</v>
      </c>
      <c r="I8" s="36">
        <f>IF(H8=$B$6,$C$6,IF(H8=$B$7,$C$7,IF(H8=$B$8,$C$8,IF(H8=$B$9,$C$9,IF(H8=$B$10,$C$10,"")))))</f>
        <v>0</v>
      </c>
      <c r="K8" s="38" t="s">
        <v>22</v>
      </c>
      <c r="L8" s="42" t="str">
        <f>IF(COUNTIF(H6:H10,"&gt;0")=0,"",AVERAGEIF(H6:H10,"&gt;0"))</f>
        <v/>
      </c>
      <c r="M8" s="47"/>
    </row>
    <row r="9" spans="2:13" ht="19.5" thickTop="1" thickBot="1" x14ac:dyDescent="0.4">
      <c r="B9" s="29">
        <f>KETENTUAN!C15</f>
        <v>0</v>
      </c>
      <c r="C9" s="29">
        <f>KETENTUAN!E15</f>
        <v>0</v>
      </c>
      <c r="D9" s="29">
        <f>KETENTUAN!N15</f>
        <v>0</v>
      </c>
      <c r="F9" s="34">
        <v>4</v>
      </c>
      <c r="G9" s="35">
        <f>INPUT!C14</f>
        <v>0</v>
      </c>
      <c r="H9" s="25">
        <f>INPUT!D14</f>
        <v>0</v>
      </c>
      <c r="I9" s="36">
        <f>IF(H9=$B$6,$C$6,IF(H9=$B$7,$C$7,IF(H9=$B$8,$C$8,IF(H9=$B$9,$C$9,IF(H9=$B$10,$C$10,"")))))</f>
        <v>0</v>
      </c>
      <c r="K9" s="38" t="s">
        <v>23</v>
      </c>
      <c r="L9" s="40">
        <f>COUNTIF(G6:G10,"*")</f>
        <v>0</v>
      </c>
      <c r="M9" s="45" t="e">
        <f>(L8+L16)/2</f>
        <v>#VALUE!</v>
      </c>
    </row>
    <row r="10" spans="2:13" ht="19.5" thickTop="1" thickBot="1" x14ac:dyDescent="0.4">
      <c r="B10" s="29">
        <f>KETENTUAN!C17</f>
        <v>0</v>
      </c>
      <c r="C10" s="29">
        <f>KETENTUAN!E17</f>
        <v>0</v>
      </c>
      <c r="D10" s="29">
        <f>KETENTUAN!N17</f>
        <v>0</v>
      </c>
      <c r="F10" s="34">
        <v>5</v>
      </c>
      <c r="G10" s="35">
        <f>INPUT!C16</f>
        <v>0</v>
      </c>
      <c r="H10" s="25">
        <f>INPUT!D16</f>
        <v>0</v>
      </c>
      <c r="I10" s="36">
        <f>IF(H10=$B$6,$C$6,IF(H10=$B$7,$C$7,IF(H10=$B$8,$C$8,IF(H10=$B$9,$C$9,IF(H10=$B$10,$C$10,"")))))</f>
        <v>0</v>
      </c>
      <c r="K10" s="38" t="s">
        <v>8</v>
      </c>
      <c r="L10" s="41" t="str">
        <f>IF(L8=L5,"🤩",IF(L8&lt;L5,"😔",""))</f>
        <v/>
      </c>
      <c r="M10" s="46" t="e">
        <f>IF(M9=L5,"🤩",IF(M9&lt;L5,"😔",""))</f>
        <v>#VALUE!</v>
      </c>
    </row>
    <row r="11" spans="2:13" ht="16.5" thickTop="1" thickBot="1" x14ac:dyDescent="0.4">
      <c r="F11" s="31"/>
      <c r="G11" s="31" t="s">
        <v>24</v>
      </c>
      <c r="H11" s="27"/>
      <c r="I11" s="32"/>
    </row>
    <row r="12" spans="2:13" ht="19.5" thickTop="1" thickBot="1" x14ac:dyDescent="0.4">
      <c r="C12">
        <v>1</v>
      </c>
      <c r="D12" s="24" t="str">
        <f>IF(C12=$B$6,$C$6,IF(C12=$B$7,$C$7,IF(C12=$B$8,$C$8,IF(C12=$B$9,$C$9,IF(C12=$B$10,$C$10,"")))))</f>
        <v/>
      </c>
      <c r="F12" s="78" t="s">
        <v>18</v>
      </c>
      <c r="G12" s="78"/>
      <c r="H12" s="78"/>
      <c r="I12" s="78"/>
    </row>
    <row r="13" spans="2:13" ht="19.5" thickTop="1" thickBot="1" x14ac:dyDescent="0.4">
      <c r="F13" s="33"/>
      <c r="G13" s="28" t="s">
        <v>12</v>
      </c>
      <c r="H13" s="28" t="s">
        <v>10</v>
      </c>
      <c r="I13" s="28" t="s">
        <v>13</v>
      </c>
      <c r="K13" s="38" t="s">
        <v>25</v>
      </c>
      <c r="L13" s="41">
        <f>KETENTUAN!C9</f>
        <v>0</v>
      </c>
    </row>
    <row r="14" spans="2:13" ht="16.5" thickTop="1" thickBot="1" x14ac:dyDescent="0.4">
      <c r="F14" s="34">
        <v>1</v>
      </c>
      <c r="G14" s="35">
        <f>G6</f>
        <v>0</v>
      </c>
      <c r="H14" s="25">
        <f>INPUT!F8</f>
        <v>0</v>
      </c>
      <c r="I14" s="36">
        <f>IF(H14=$B$6,$C$6,IF(H14=$B$7,$C$7,IF(H14=$B$8,$C$8,IF(H14=$B$9,$C$9,IF(H14=$B$10,$C$10,"")))))</f>
        <v>0</v>
      </c>
      <c r="K14" s="38" t="s">
        <v>20</v>
      </c>
      <c r="L14" s="40">
        <f>MAX(H14:H18)</f>
        <v>0</v>
      </c>
    </row>
    <row r="15" spans="2:13" ht="16.5" thickTop="1" thickBot="1" x14ac:dyDescent="0.4">
      <c r="F15" s="34">
        <v>2</v>
      </c>
      <c r="G15" s="35">
        <f>G7</f>
        <v>0</v>
      </c>
      <c r="H15" s="25">
        <f>INPUT!F10</f>
        <v>0</v>
      </c>
      <c r="I15" s="36">
        <f t="shared" ref="I15:I18" si="0">IF(H15=$B$6,$C$6,IF(H15=$B$7,$C$7,IF(H15=$B$8,$C$8,IF(H15=$B$9,$C$9,IF(H15=$B$10,$C$10,"")))))</f>
        <v>0</v>
      </c>
      <c r="K15" s="38" t="s">
        <v>21</v>
      </c>
      <c r="L15" s="40">
        <f>MIN(H14:H18)</f>
        <v>0</v>
      </c>
    </row>
    <row r="16" spans="2:13" ht="16.5" thickTop="1" thickBot="1" x14ac:dyDescent="0.4">
      <c r="F16" s="34">
        <v>3</v>
      </c>
      <c r="G16" s="35">
        <f>G8</f>
        <v>0</v>
      </c>
      <c r="H16" s="25">
        <f>INPUT!F12</f>
        <v>0</v>
      </c>
      <c r="I16" s="36">
        <f t="shared" si="0"/>
        <v>0</v>
      </c>
      <c r="K16" s="38" t="s">
        <v>22</v>
      </c>
      <c r="L16" s="44" t="str">
        <f>IF(COUNTIF(H14:H18,"&gt;0")=0,"",AVERAGEIF(H14:H18,"&gt;0"))</f>
        <v/>
      </c>
    </row>
    <row r="17" spans="6:12" ht="16.5" thickTop="1" thickBot="1" x14ac:dyDescent="0.4">
      <c r="F17" s="34">
        <v>4</v>
      </c>
      <c r="G17" s="35">
        <f>G9</f>
        <v>0</v>
      </c>
      <c r="H17" s="25">
        <f>INPUT!F14</f>
        <v>0</v>
      </c>
      <c r="I17" s="36">
        <f t="shared" si="0"/>
        <v>0</v>
      </c>
      <c r="K17" s="38" t="s">
        <v>23</v>
      </c>
      <c r="L17" s="40">
        <f>COUNTIF(G14:G18,"*")</f>
        <v>0</v>
      </c>
    </row>
    <row r="18" spans="6:12" ht="16.5" thickTop="1" thickBot="1" x14ac:dyDescent="0.4">
      <c r="F18" s="34">
        <v>5</v>
      </c>
      <c r="G18" s="35">
        <f>G10</f>
        <v>0</v>
      </c>
      <c r="H18" s="25">
        <f>INPUT!F16</f>
        <v>0</v>
      </c>
      <c r="I18" s="36">
        <f t="shared" si="0"/>
        <v>0</v>
      </c>
      <c r="K18" s="38" t="s">
        <v>8</v>
      </c>
      <c r="L18" s="40" t="str">
        <f>IF(L16=L13,"🤩",IF(L16&lt;L13,"😔",""))</f>
        <v/>
      </c>
    </row>
    <row r="19" spans="6:12" ht="15" thickTop="1" x14ac:dyDescent="0.35"/>
  </sheetData>
  <mergeCells count="3">
    <mergeCell ref="B4:C4"/>
    <mergeCell ref="F4:I4"/>
    <mergeCell ref="F12:I12"/>
  </mergeCells>
  <pageMargins left="0.7" right="0.7" top="0.75" bottom="0.75" header="0.3" footer="0.3"/>
  <pageSetup orientation="portrait" horizontalDpi="360" verticalDpi="360" r:id="rId1"/>
  <ignoredErrors>
    <ignoredError sqref="B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7D7D-92BB-4443-B2AF-3F2D0659405F}">
  <dimension ref="B2:E4"/>
  <sheetViews>
    <sheetView showGridLines="0" showRowColHeaders="0" zoomScaleNormal="100" workbookViewId="0"/>
  </sheetViews>
  <sheetFormatPr defaultRowHeight="14.5" x14ac:dyDescent="0.35"/>
  <sheetData>
    <row r="2" spans="2:5" ht="21" x14ac:dyDescent="0.35">
      <c r="B2" s="79" t="s">
        <v>27</v>
      </c>
      <c r="C2" s="79"/>
      <c r="D2" s="79"/>
      <c r="E2" s="79"/>
    </row>
    <row r="3" spans="2:5" x14ac:dyDescent="0.35">
      <c r="B3" s="80"/>
      <c r="C3" s="80"/>
      <c r="D3" s="80"/>
      <c r="E3" s="80"/>
    </row>
    <row r="4" spans="2:5" x14ac:dyDescent="0.35">
      <c r="B4" s="80"/>
      <c r="C4" s="80"/>
      <c r="D4" s="80"/>
      <c r="E4" s="80"/>
    </row>
  </sheetData>
  <sheetProtection algorithmName="SHA-512" hashValue="Dy7kdMNG4AoWIgAcgTC33J81ZbosulVMu/JYAv2HAR7tHY+3fNNyGFXY7egqD4iZHsLChGVIG/12CcziqtO0rw==" saltValue="LzqblmN1nrc24vQpEM0yxw==" spinCount="100000" sheet="1" objects="1" scenarios="1"/>
  <mergeCells count="2">
    <mergeCell ref="B2:E2"/>
    <mergeCell ref="B3:E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2FB5-6549-4B69-85AE-55AA0ED45653}">
  <dimension ref="B2:T28"/>
  <sheetViews>
    <sheetView showGridLines="0" showRowColHeaders="0" zoomScaleNormal="100" workbookViewId="0"/>
  </sheetViews>
  <sheetFormatPr defaultRowHeight="14.5" x14ac:dyDescent="0.35"/>
  <sheetData>
    <row r="2" spans="2:20" ht="21" x14ac:dyDescent="0.35">
      <c r="B2" s="79" t="s">
        <v>27</v>
      </c>
      <c r="C2" s="79"/>
      <c r="D2" s="79"/>
      <c r="E2" s="79"/>
    </row>
    <row r="3" spans="2:20" x14ac:dyDescent="0.35">
      <c r="B3" s="80"/>
      <c r="C3" s="80"/>
      <c r="D3" s="80"/>
      <c r="E3" s="80"/>
    </row>
    <row r="4" spans="2:20" x14ac:dyDescent="0.35">
      <c r="B4" s="80"/>
      <c r="C4" s="80"/>
      <c r="D4" s="80"/>
      <c r="E4" s="80"/>
    </row>
    <row r="11" spans="2:20" x14ac:dyDescent="0.35">
      <c r="T11" t="s">
        <v>26</v>
      </c>
    </row>
    <row r="23" spans="2:16" x14ac:dyDescent="0.35"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2:16" x14ac:dyDescent="0.35"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2:16" x14ac:dyDescent="0.35">
      <c r="B25" s="49"/>
      <c r="C25" s="49"/>
      <c r="D25" s="49"/>
      <c r="E25" s="49" t="s">
        <v>26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2:16" x14ac:dyDescent="0.35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2:16" x14ac:dyDescent="0.35"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2:16" x14ac:dyDescent="0.35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</sheetData>
  <sheetProtection algorithmName="SHA-512" hashValue="/7/kUZx+cNc6zUh4EgnaH5MFivAsfO0447iXDUF09BFQ0yhgGsFYg7O8eaRIAfZOvMcqxsZJqG5v/4dP7+cECA==" saltValue="poqCDCNA4v8ogT0PkzY16A==" spinCount="100000" sheet="1" objects="1" scenarios="1"/>
  <mergeCells count="2">
    <mergeCell ref="B3:E4"/>
    <mergeCell ref="B2:E2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IDENTITAS</vt:lpstr>
      <vt:lpstr>KETENTUAN</vt:lpstr>
      <vt:lpstr>INPUT</vt:lpstr>
      <vt:lpstr>DASHBOARD</vt:lpstr>
      <vt:lpstr>FORMULA</vt:lpstr>
      <vt:lpstr>SEPATU</vt:lpstr>
      <vt:lpstr>SANDAL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2025-10-27T13:33:45Z</dcterms:created>
  <dcterms:modified xsi:type="dcterms:W3CDTF">2025-12-05T00:40:44Z</dcterms:modified>
</cp:coreProperties>
</file>